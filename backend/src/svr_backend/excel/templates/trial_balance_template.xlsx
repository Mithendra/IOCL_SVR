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ithendra\SVR\backend\src\svr_backend\excel\templates\"/>
    </mc:Choice>
  </mc:AlternateContent>
  <xr:revisionPtr revIDLastSave="0" documentId="13_ncr:1_{51C81B5F-BF58-4C77-992C-EE2C98F75C9A}" xr6:coauthVersionLast="47" xr6:coauthVersionMax="47" xr10:uidLastSave="{00000000-0000-0000-0000-000000000000}"/>
  <bookViews>
    <workbookView xWindow="-120" yWindow="-120" windowWidth="29040" windowHeight="15720" tabRatio="609" xr2:uid="{00000000-000D-0000-FFFF-FFFF00000000}"/>
  </bookViews>
  <sheets>
    <sheet name="SEP1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1" l="1"/>
  <c r="F20" i="1"/>
  <c r="E20" i="1"/>
  <c r="F134" i="1"/>
  <c r="G134" i="1" s="1"/>
  <c r="F133" i="1"/>
  <c r="G133" i="1" s="1"/>
  <c r="S127" i="1"/>
  <c r="E127" i="1"/>
  <c r="W127" i="1" s="1"/>
  <c r="D127" i="1"/>
  <c r="V127" i="1" s="1"/>
  <c r="S126" i="1"/>
  <c r="E126" i="1"/>
  <c r="G126" i="1" s="1"/>
  <c r="D126" i="1"/>
  <c r="V126" i="1" s="1"/>
  <c r="S125" i="1"/>
  <c r="E125" i="1"/>
  <c r="G125" i="1" s="1"/>
  <c r="D125" i="1"/>
  <c r="V125" i="1" s="1"/>
  <c r="S124" i="1"/>
  <c r="E124" i="1"/>
  <c r="W124" i="1" s="1"/>
  <c r="D124" i="1"/>
  <c r="V124" i="1" s="1"/>
  <c r="S123" i="1"/>
  <c r="E123" i="1"/>
  <c r="G123" i="1" s="1"/>
  <c r="D123" i="1"/>
  <c r="V123" i="1" s="1"/>
  <c r="S122" i="1"/>
  <c r="T122" i="1" s="1"/>
  <c r="E122" i="1"/>
  <c r="W122" i="1" s="1"/>
  <c r="D122" i="1"/>
  <c r="F122" i="1" s="1"/>
  <c r="S121" i="1"/>
  <c r="E121" i="1"/>
  <c r="W121" i="1" s="1"/>
  <c r="D121" i="1"/>
  <c r="V121" i="1" s="1"/>
  <c r="S120" i="1"/>
  <c r="E120" i="1"/>
  <c r="G120" i="1" s="1"/>
  <c r="D120" i="1"/>
  <c r="F120" i="1" s="1"/>
  <c r="S119" i="1"/>
  <c r="E119" i="1"/>
  <c r="W119" i="1" s="1"/>
  <c r="D119" i="1"/>
  <c r="V119" i="1" s="1"/>
  <c r="S118" i="1"/>
  <c r="E118" i="1"/>
  <c r="W118" i="1" s="1"/>
  <c r="D118" i="1"/>
  <c r="V118" i="1" s="1"/>
  <c r="X118" i="1" s="1"/>
  <c r="Y118" i="1" s="1"/>
  <c r="Z118" i="1" s="1"/>
  <c r="S117" i="1"/>
  <c r="E117" i="1"/>
  <c r="G117" i="1" s="1"/>
  <c r="D117" i="1"/>
  <c r="F117" i="1" s="1"/>
  <c r="S116" i="1"/>
  <c r="E116" i="1"/>
  <c r="W116" i="1" s="1"/>
  <c r="D116" i="1"/>
  <c r="V116" i="1" s="1"/>
  <c r="X116" i="1" s="1"/>
  <c r="Y116" i="1" s="1"/>
  <c r="Z116" i="1" s="1"/>
  <c r="S115" i="1"/>
  <c r="E115" i="1"/>
  <c r="W115" i="1" s="1"/>
  <c r="D115" i="1"/>
  <c r="F115" i="1" s="1"/>
  <c r="S114" i="1"/>
  <c r="E114" i="1"/>
  <c r="W114" i="1" s="1"/>
  <c r="D114" i="1"/>
  <c r="F114" i="1" s="1"/>
  <c r="S113" i="1"/>
  <c r="E113" i="1"/>
  <c r="W113" i="1" s="1"/>
  <c r="D113" i="1"/>
  <c r="V113" i="1" s="1"/>
  <c r="S112" i="1"/>
  <c r="E112" i="1"/>
  <c r="W112" i="1" s="1"/>
  <c r="D112" i="1"/>
  <c r="F112" i="1" s="1"/>
  <c r="S111" i="1"/>
  <c r="E111" i="1"/>
  <c r="W111" i="1" s="1"/>
  <c r="D111" i="1"/>
  <c r="F111" i="1" s="1"/>
  <c r="S110" i="1"/>
  <c r="E110" i="1"/>
  <c r="W110" i="1" s="1"/>
  <c r="D110" i="1"/>
  <c r="V110" i="1" s="1"/>
  <c r="W109" i="1"/>
  <c r="S109" i="1"/>
  <c r="E109" i="1"/>
  <c r="G109" i="1" s="1"/>
  <c r="D109" i="1"/>
  <c r="V109" i="1" s="1"/>
  <c r="X109" i="1" s="1"/>
  <c r="Y109" i="1" s="1"/>
  <c r="Z109" i="1" s="1"/>
  <c r="D83" i="1"/>
  <c r="D82" i="1"/>
  <c r="B68" i="1"/>
  <c r="D68" i="1" s="1"/>
  <c r="B67" i="1"/>
  <c r="D67" i="1" s="1"/>
  <c r="D69" i="1" s="1"/>
  <c r="D73" i="1" s="1"/>
  <c r="D51" i="1"/>
  <c r="B34" i="1"/>
  <c r="D35" i="1" s="1"/>
  <c r="D41" i="1" s="1"/>
  <c r="D47" i="1" s="1"/>
  <c r="D52" i="1" s="1"/>
  <c r="F25" i="1"/>
  <c r="E25" i="1"/>
  <c r="F24" i="1"/>
  <c r="E24" i="1"/>
  <c r="F23" i="1"/>
  <c r="E23" i="1"/>
  <c r="F22" i="1"/>
  <c r="E22" i="1"/>
  <c r="F21" i="1"/>
  <c r="E21" i="1"/>
  <c r="F19" i="1"/>
  <c r="E19" i="1"/>
  <c r="D12" i="1"/>
  <c r="F12" i="1" s="1"/>
  <c r="D11" i="1"/>
  <c r="F11" i="1" s="1"/>
  <c r="D8" i="1"/>
  <c r="B16" i="1" s="1"/>
  <c r="D7" i="1"/>
  <c r="F7" i="1" s="1"/>
  <c r="D4" i="1"/>
  <c r="D3" i="1"/>
  <c r="C15" i="1" l="1"/>
  <c r="V120" i="1"/>
  <c r="V117" i="1"/>
  <c r="W117" i="1"/>
  <c r="F125" i="1"/>
  <c r="F8" i="1"/>
  <c r="B15" i="1"/>
  <c r="D15" i="1" s="1"/>
  <c r="E3" i="1" s="1"/>
  <c r="F13" i="1"/>
  <c r="V114" i="1"/>
  <c r="W125" i="1"/>
  <c r="C16" i="1"/>
  <c r="V111" i="1"/>
  <c r="X111" i="1" s="1"/>
  <c r="Y111" i="1" s="1"/>
  <c r="Z111" i="1" s="1"/>
  <c r="D84" i="1"/>
  <c r="X112" i="1"/>
  <c r="Y112" i="1" s="1"/>
  <c r="Z112" i="1" s="1"/>
  <c r="V115" i="1"/>
  <c r="X115" i="1" s="1"/>
  <c r="Y115" i="1" s="1"/>
  <c r="Z115" i="1" s="1"/>
  <c r="F119" i="1"/>
  <c r="W126" i="1"/>
  <c r="G114" i="1"/>
  <c r="G115" i="1"/>
  <c r="G112" i="1"/>
  <c r="F123" i="1"/>
  <c r="X127" i="1"/>
  <c r="Y127" i="1" s="1"/>
  <c r="Z127" i="1" s="1"/>
  <c r="F26" i="1"/>
  <c r="J4" i="1" s="1"/>
  <c r="F109" i="1"/>
  <c r="X126" i="1"/>
  <c r="Y126" i="1" s="1"/>
  <c r="Z126" i="1" s="1"/>
  <c r="F9" i="1"/>
  <c r="V112" i="1"/>
  <c r="W123" i="1"/>
  <c r="X123" i="1" s="1"/>
  <c r="Y123" i="1" s="1"/>
  <c r="Z123" i="1" s="1"/>
  <c r="V122" i="1"/>
  <c r="X122" i="1" s="1"/>
  <c r="Y122" i="1" s="1"/>
  <c r="Z122" i="1" s="1"/>
  <c r="D16" i="1"/>
  <c r="E4" i="1" s="1"/>
  <c r="G122" i="1"/>
  <c r="X125" i="1"/>
  <c r="Y125" i="1" s="1"/>
  <c r="Z125" i="1" s="1"/>
  <c r="X110" i="1"/>
  <c r="Y110" i="1" s="1"/>
  <c r="Z110" i="1" s="1"/>
  <c r="X121" i="1"/>
  <c r="Y121" i="1" s="1"/>
  <c r="Z121" i="1" s="1"/>
  <c r="D53" i="1"/>
  <c r="F54" i="1" s="1"/>
  <c r="D72" i="1"/>
  <c r="D74" i="1" s="1"/>
  <c r="D85" i="1"/>
  <c r="F15" i="1"/>
  <c r="X119" i="1"/>
  <c r="Y119" i="1" s="1"/>
  <c r="Z119" i="1" s="1"/>
  <c r="X113" i="1"/>
  <c r="Y113" i="1" s="1"/>
  <c r="Z113" i="1" s="1"/>
  <c r="X124" i="1"/>
  <c r="Y124" i="1" s="1"/>
  <c r="Z124" i="1" s="1"/>
  <c r="X114" i="1"/>
  <c r="Y114" i="1" s="1"/>
  <c r="Z114" i="1" s="1"/>
  <c r="W120" i="1"/>
  <c r="X120" i="1" s="1"/>
  <c r="Y120" i="1" s="1"/>
  <c r="Z120" i="1" s="1"/>
  <c r="G119" i="1"/>
  <c r="F127" i="1"/>
  <c r="G111" i="1"/>
  <c r="F116" i="1"/>
  <c r="G127" i="1"/>
  <c r="G116" i="1"/>
  <c r="F124" i="1"/>
  <c r="F113" i="1"/>
  <c r="F121" i="1"/>
  <c r="G124" i="1"/>
  <c r="G113" i="1"/>
  <c r="G121" i="1"/>
  <c r="F110" i="1"/>
  <c r="F118" i="1"/>
  <c r="G110" i="1"/>
  <c r="G118" i="1"/>
  <c r="F126" i="1"/>
  <c r="D86" i="1" l="1"/>
  <c r="D95" i="1" s="1"/>
  <c r="X117" i="1"/>
  <c r="Y117" i="1" s="1"/>
  <c r="Z117" i="1" s="1"/>
  <c r="F16" i="1"/>
  <c r="F17" i="1" s="1"/>
  <c r="E27" i="1" s="1"/>
  <c r="G4" i="1"/>
  <c r="H4" i="1" s="1"/>
  <c r="F4" i="1"/>
  <c r="L4" i="1" s="1"/>
  <c r="F3" i="1"/>
  <c r="L3" i="1" s="1"/>
  <c r="G3" i="1"/>
  <c r="H3" i="1" s="1"/>
  <c r="I4" i="1" s="1"/>
  <c r="K4" i="1" s="1"/>
  <c r="D96" i="1"/>
  <c r="F87" i="1"/>
  <c r="F56" i="1"/>
  <c r="D77" i="1" l="1"/>
  <c r="D78" i="1" s="1"/>
  <c r="D98" i="1"/>
  <c r="F97" i="1"/>
  <c r="F99" i="1" s="1"/>
  <c r="F89" i="1"/>
  <c r="M4" i="1"/>
  <c r="D102" i="1" l="1"/>
  <c r="D99" i="1"/>
  <c r="D101" i="1" s="1"/>
  <c r="D79" i="1"/>
  <c r="D80" i="1" s="1"/>
  <c r="D100" i="1" s="1"/>
</calcChain>
</file>

<file path=xl/sharedStrings.xml><?xml version="1.0" encoding="utf-8"?>
<sst xmlns="http://schemas.openxmlformats.org/spreadsheetml/2006/main" count="179" uniqueCount="158">
  <si>
    <t xml:space="preserve">1.IOCL Stock Readings </t>
  </si>
  <si>
    <t xml:space="preserve">IOCL Last
</t>
  </si>
  <si>
    <t xml:space="preserve">IOCLCurrent </t>
  </si>
  <si>
    <t xml:space="preserve">
[ Last - Current ]</t>
  </si>
  <si>
    <t>Actual Consump</t>
  </si>
  <si>
    <t>Consump DiFF</t>
  </si>
  <si>
    <t>Daily Testing</t>
  </si>
  <si>
    <t>Margin</t>
  </si>
  <si>
    <t xml:space="preserve">Margin Total  </t>
  </si>
  <si>
    <t xml:space="preserve">2T Sales </t>
  </si>
  <si>
    <t>Total Sale Amt</t>
  </si>
  <si>
    <t xml:space="preserve">IOCL Adv
</t>
  </si>
  <si>
    <t>IOCL 
Profit</t>
  </si>
  <si>
    <t>Diesel (HS)</t>
  </si>
  <si>
    <t>Petrol (MS)</t>
  </si>
  <si>
    <t xml:space="preserve">2.Day Sales Report </t>
  </si>
  <si>
    <t>12BC4523V-Rd</t>
  </si>
  <si>
    <t>Current Reding</t>
  </si>
  <si>
    <t>Last Reading</t>
  </si>
  <si>
    <t xml:space="preserve">
[Last-Current]</t>
  </si>
  <si>
    <t>Rate</t>
  </si>
  <si>
    <t>Per Pump</t>
  </si>
  <si>
    <t>Diesel (HS-Nz-1)</t>
  </si>
  <si>
    <t>Petrol (MS-Nz-2)</t>
  </si>
  <si>
    <t>IMPORANT NOTE:</t>
  </si>
  <si>
    <t xml:space="preserve">Columns that are marked as an example for Data Entry, Rest should be caluculated Automatically using Excel Formulas  </t>
  </si>
  <si>
    <t>11CC2012V-OFF</t>
  </si>
  <si>
    <t>11CC2012V-Road</t>
  </si>
  <si>
    <t>12BC4523V-Off</t>
  </si>
  <si>
    <t xml:space="preserve">Total </t>
  </si>
  <si>
    <t>IOCL color code</t>
  </si>
  <si>
    <t>#FF4D00</t>
  </si>
  <si>
    <t>Red</t>
  </si>
  <si>
    <t>#97B2FF</t>
  </si>
  <si>
    <t>Blue</t>
  </si>
  <si>
    <t>Petrol ( MS)</t>
  </si>
  <si>
    <t>Total Sale Ltrs.</t>
  </si>
  <si>
    <t xml:space="preserve"> </t>
  </si>
  <si>
    <t>2.1 Oil Sales</t>
  </si>
  <si>
    <t xml:space="preserve">Sold </t>
  </si>
  <si>
    <t>Opening Stock</t>
  </si>
  <si>
    <t>Closing Stock</t>
  </si>
  <si>
    <t>Amount</t>
  </si>
  <si>
    <t>OiL Sales(s): Total Amount</t>
  </si>
  <si>
    <t xml:space="preserve">Daily Sales Total Amt </t>
  </si>
  <si>
    <t>3.Daily  Cash &amp; Bank Balances - IOCL Spana - Indian Bank - Yes Bank - Other Ongoing / New Credits</t>
  </si>
  <si>
    <t>3.1 On Hand Old Cash</t>
  </si>
  <si>
    <t>3.2 Night Cash Hand off</t>
  </si>
  <si>
    <t>3.3 Morning Cash Hand off Total</t>
  </si>
  <si>
    <t>3.4 Day Total</t>
  </si>
  <si>
    <t>3.5 Old Credit Cash hand off (Remove the Row)</t>
  </si>
  <si>
    <t>3.6 Total</t>
  </si>
  <si>
    <t>3.7 Old Cash + Current Day Total</t>
  </si>
  <si>
    <t>3.8 IOCL Card End Balance (-)</t>
  </si>
  <si>
    <t xml:space="preserve">Daily basis Section 2., 3 and 4 are Very Critical </t>
  </si>
  <si>
    <t>3.9 Indian bank Statement Ending Balance @Fraud Pending -Rs 13367</t>
  </si>
  <si>
    <t>3.10 Yes Bank Statement Ending balance</t>
  </si>
  <si>
    <t>3.11 Phone Pay UnSettled Amt</t>
  </si>
  <si>
    <t>3.12 Phone Pay Settled Amt (Already Reflects In Indian Bank Statement)</t>
  </si>
  <si>
    <t>3.13 Total Amt</t>
  </si>
  <si>
    <t>3.14 New Credit /  Salary Adv</t>
  </si>
  <si>
    <t>3.15 Total Cash/Book Amount as of Today</t>
  </si>
  <si>
    <t xml:space="preserve">4.Cash/Book Value Reconclilation </t>
  </si>
  <si>
    <t>4.1 Yesterday SVR Cash/Book Value</t>
  </si>
  <si>
    <t>4.2 Total Today Sale Amount After Expenses (Beta,Testing and Density)</t>
  </si>
  <si>
    <t>4.3 Total - Projected</t>
  </si>
  <si>
    <t>4.4 Today SVR Cash/Book Value Reported</t>
  </si>
  <si>
    <t xml:space="preserve"># Take This Value for Tomorrow using ='AUG24'!D49 as an example  </t>
  </si>
  <si>
    <t>4.5 Diff Reported - Projected</t>
  </si>
  <si>
    <t xml:space="preserve">#OK Anything Above Rs 100 Call/inform mgmt immediately </t>
  </si>
  <si>
    <t>4.6 Expenses</t>
  </si>
  <si>
    <t>4.8 DIFFERENCE AMOUNT</t>
  </si>
  <si>
    <t>Yes Bank Return Amount</t>
  </si>
  <si>
    <t>Total Difference</t>
  </si>
  <si>
    <t>4.7 Credit Remittance [Remove/Update the Row Above]</t>
  </si>
  <si>
    <t xml:space="preserve">5.Stock Value  </t>
  </si>
  <si>
    <t>Computer On hand  Stock Readings</t>
  </si>
  <si>
    <t>Ltrs</t>
  </si>
  <si>
    <t xml:space="preserve">Total Stock Value </t>
  </si>
  <si>
    <t xml:space="preserve">6. Trial Balance  - Actual Reported  - Today  </t>
  </si>
  <si>
    <t>6.1 Today’s Actual Reported SVR Cash/Book Value</t>
  </si>
  <si>
    <t>6.2 Today’s Closing Stock Value</t>
  </si>
  <si>
    <t>6.3 Today’s Total Working Capital / Net Worth</t>
  </si>
  <si>
    <t>#Carry this amount forward as the next day’s previous actual reported trial balance (reference row 71)</t>
  </si>
  <si>
    <t xml:space="preserve">7. Trial Balance – Projected – Today ~ More Value Depends on Consump Difference </t>
  </si>
  <si>
    <t>7.1 Yesterday’s Actual Reported Trial Balance</t>
  </si>
  <si>
    <t>7.2 Today’s Profit Including 2T Sales</t>
  </si>
  <si>
    <t>7.3 Today’s Projected Trial Balance</t>
  </si>
  <si>
    <t>7.4 Difference – Actual Reported Minus Projected</t>
  </si>
  <si>
    <t xml:space="preserve"># Report to mgmt #shows High Sensor issue Depends on Consumption Difference </t>
  </si>
  <si>
    <t>7.5 Today’s Actual Reported Trial Balance</t>
  </si>
  <si>
    <t>8. Daily Management Reporting – SEPT 12, 12:00 PM IST</t>
  </si>
  <si>
    <t>8.1 Yesterday’s SVR Cash/Book Value</t>
  </si>
  <si>
    <t>8.2 Today’s Sales After Expenses, Testing and Density Adjustments</t>
  </si>
  <si>
    <t>8.3 Projected SVR Cash/Book Value</t>
  </si>
  <si>
    <t># Duplicate Section for mgmt Reporting 4.Cash Reconclilation</t>
  </si>
  <si>
    <t>8.4 Actual Reported SVR Cash/Book Value</t>
  </si>
  <si>
    <t>8.5 Difference – Actual Reported Minus Projected</t>
  </si>
  <si>
    <t>8.6 Regular Expenses</t>
  </si>
  <si>
    <t>Difference Amount</t>
  </si>
  <si>
    <t>Total difference</t>
  </si>
  <si>
    <t>Total Regular Expenses</t>
  </si>
  <si>
    <t>8.7 Old Credit Collections [Remove/Update the row above]</t>
  </si>
  <si>
    <t>Write to the nxt Col</t>
  </si>
  <si>
    <t xml:space="preserve">N/A to write </t>
  </si>
  <si>
    <t>8.8 Cash Value Difference – Escalate if Absolute Difference Exceeds ₹100</t>
  </si>
  <si>
    <t>8.9 Today’s Actual Reported Trial Balance / SVR Net Worth</t>
  </si>
  <si>
    <t>8.10 Yesterday’s Actual Reported Trial Balance</t>
  </si>
  <si>
    <t>8.11 Daily Profit Including 2T Sales</t>
  </si>
  <si>
    <t>8.12 Projected SVR Net Worth</t>
  </si>
  <si>
    <t>8.13 Actual Reported SVR Net Worth</t>
  </si>
  <si>
    <t>8.14 Difference – Actual Reported Minus Projected</t>
  </si>
  <si>
    <t>#Possitive Number is Good could be related to Consump Difference</t>
  </si>
  <si>
    <t>8.15 Actual Profit all Daily Expenses Rs3300</t>
  </si>
  <si>
    <t>8.16 Prepared by</t>
  </si>
  <si>
    <t>Gopi/Girish/Sriharsha</t>
  </si>
  <si>
    <t xml:space="preserve">Verified by </t>
  </si>
  <si>
    <t xml:space="preserve">Sent  to SVR and Bank Statement to Group Email BY </t>
  </si>
  <si>
    <t xml:space="preserve">End of Mgmt Summary </t>
  </si>
  <si>
    <t xml:space="preserve">9. Daily Mgr Calucation </t>
  </si>
  <si>
    <t>Date</t>
  </si>
  <si>
    <t>Total MS Sale</t>
  </si>
  <si>
    <t>Total HS Sale</t>
  </si>
  <si>
    <t xml:space="preserve">MS Dedcuct Testing </t>
  </si>
  <si>
    <t xml:space="preserve">HS Deduct Testing </t>
  </si>
  <si>
    <t>MS Total RS</t>
  </si>
  <si>
    <t>HS Total Rs</t>
  </si>
  <si>
    <t>Total Sales Rs</t>
  </si>
  <si>
    <t xml:space="preserve">Daily Expenses
(Tiffins/unloads) </t>
  </si>
  <si>
    <t>2T Sale</t>
  </si>
  <si>
    <t xml:space="preserve">Total Sale </t>
  </si>
  <si>
    <t xml:space="preserve">Settled Phone Pay </t>
  </si>
  <si>
    <t xml:space="preserve">UnSettled Phone Pay </t>
  </si>
  <si>
    <t>Fleet Card Swipe</t>
  </si>
  <si>
    <t>Credit Card Swipe</t>
  </si>
  <si>
    <t>Credit (any)</t>
  </si>
  <si>
    <t xml:space="preserve">Night Cash - Total </t>
  </si>
  <si>
    <t xml:space="preserve">Day Cash - Total  </t>
  </si>
  <si>
    <t>Total Cash After All</t>
  </si>
  <si>
    <t>Difference</t>
  </si>
  <si>
    <t>Bank Deposits(Any)</t>
  </si>
  <si>
    <t>MS Comm</t>
  </si>
  <si>
    <t>HS Comm</t>
  </si>
  <si>
    <t>Total Comm</t>
  </si>
  <si>
    <t xml:space="preserve">Day Profit </t>
  </si>
  <si>
    <t>2T Sales</t>
  </si>
  <si>
    <t>10.Load/Unload Details (Applicable only when IOCL Delivers the Load)</t>
  </si>
  <si>
    <t xml:space="preserve">After Unloand </t>
  </si>
  <si>
    <t>Old Reading</t>
  </si>
  <si>
    <t>New computer</t>
  </si>
  <si>
    <t>IOCL Load</t>
  </si>
  <si>
    <t>Lost</t>
  </si>
  <si>
    <t>Diesel (HS) - Vechile</t>
  </si>
  <si>
    <t>Petrol (MS) - Vechile</t>
  </si>
  <si>
    <t xml:space="preserve">11. Old/New Credit Sales Details  - Credit Master Entry </t>
  </si>
  <si>
    <t>11.1 NEW  Airttel Balance</t>
  </si>
  <si>
    <t>.</t>
  </si>
  <si>
    <t>11.2 Old Airttel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</si>
</sst>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sz val="11"/>
      <color rgb="FFFF4D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u/>
      <sz val="16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1"/>
      <color rgb="FF1A1A1A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D5B"/>
        <bgColor indexed="64"/>
      </patternFill>
    </fill>
    <fill>
      <patternFill patternType="solid">
        <fgColor rgb="FF9FFF9F"/>
        <bgColor indexed="64"/>
      </patternFill>
    </fill>
    <fill>
      <patternFill patternType="solid">
        <fgColor rgb="FFFF4D00"/>
        <bgColor indexed="64"/>
      </patternFill>
    </fill>
    <fill>
      <patternFill patternType="solid">
        <fgColor rgb="FF97B2FF"/>
        <bgColor indexed="64"/>
      </patternFill>
    </fill>
    <fill>
      <patternFill patternType="solid">
        <fgColor rgb="FFFFE4D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142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2" fontId="2" fillId="0" borderId="0" xfId="0" applyNumberFormat="1" applyFont="1" applyAlignment="1">
      <alignment horizontal="left"/>
    </xf>
    <xf numFmtId="43" fontId="4" fillId="0" borderId="1" xfId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2" fontId="2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6" fontId="2" fillId="0" borderId="0" xfId="0" applyNumberFormat="1" applyFont="1" applyAlignment="1">
      <alignment horizontal="left"/>
    </xf>
    <xf numFmtId="2" fontId="0" fillId="0" borderId="1" xfId="0" applyNumberFormat="1" applyBorder="1" applyAlignment="1">
      <alignment horizontal="left"/>
    </xf>
    <xf numFmtId="0" fontId="7" fillId="0" borderId="1" xfId="0" applyFont="1" applyBorder="1" applyAlignment="1">
      <alignment horizontal="center"/>
    </xf>
    <xf numFmtId="43" fontId="0" fillId="0" borderId="0" xfId="0" applyNumberFormat="1" applyAlignment="1">
      <alignment horizontal="left"/>
    </xf>
    <xf numFmtId="43" fontId="5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4" fontId="2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0" fontId="6" fillId="0" borderId="1" xfId="0" applyFont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2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2" fontId="3" fillId="0" borderId="0" xfId="0" applyNumberFormat="1" applyFont="1" applyAlignment="1">
      <alignment horizontal="left" wrapText="1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1" xfId="0" applyBorder="1" applyAlignment="1">
      <alignment horizontal="left" vertical="center"/>
    </xf>
    <xf numFmtId="4" fontId="2" fillId="0" borderId="1" xfId="0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" fontId="3" fillId="0" borderId="0" xfId="0" applyNumberFormat="1" applyFont="1" applyAlignment="1">
      <alignment horizontal="left"/>
    </xf>
    <xf numFmtId="43" fontId="4" fillId="0" borderId="0" xfId="0" applyNumberFormat="1" applyFont="1" applyAlignment="1">
      <alignment horizontal="left"/>
    </xf>
    <xf numFmtId="43" fontId="3" fillId="0" borderId="0" xfId="0" applyNumberFormat="1" applyFont="1" applyAlignment="1">
      <alignment horizontal="left"/>
    </xf>
    <xf numFmtId="4" fontId="2" fillId="0" borderId="5" xfId="0" applyNumberFormat="1" applyFont="1" applyBorder="1" applyAlignment="1">
      <alignment horizontal="left"/>
    </xf>
    <xf numFmtId="4" fontId="0" fillId="0" borderId="5" xfId="0" applyNumberFormat="1" applyBorder="1" applyAlignment="1">
      <alignment horizontal="left"/>
    </xf>
    <xf numFmtId="0" fontId="2" fillId="6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4" fontId="4" fillId="6" borderId="0" xfId="0" applyNumberFormat="1" applyFont="1" applyFill="1" applyAlignment="1">
      <alignment horizontal="left"/>
    </xf>
    <xf numFmtId="4" fontId="5" fillId="0" borderId="0" xfId="0" applyNumberFormat="1" applyFont="1" applyAlignment="1">
      <alignment horizontal="left"/>
    </xf>
    <xf numFmtId="2" fontId="6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2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2" fontId="5" fillId="4" borderId="0" xfId="0" applyNumberFormat="1" applyFont="1" applyFill="1" applyAlignment="1">
      <alignment horizontal="left"/>
    </xf>
    <xf numFmtId="43" fontId="0" fillId="0" borderId="0" xfId="1" applyFont="1" applyAlignment="1">
      <alignment horizontal="left"/>
    </xf>
    <xf numFmtId="15" fontId="2" fillId="0" borderId="1" xfId="0" applyNumberFormat="1" applyFont="1" applyBorder="1" applyAlignment="1">
      <alignment horizontal="left"/>
    </xf>
    <xf numFmtId="43" fontId="2" fillId="0" borderId="1" xfId="1" applyFont="1" applyBorder="1" applyAlignment="1">
      <alignment horizontal="left"/>
    </xf>
    <xf numFmtId="43" fontId="2" fillId="0" borderId="0" xfId="1" applyFont="1" applyAlignment="1">
      <alignment horizontal="left"/>
    </xf>
    <xf numFmtId="0" fontId="0" fillId="3" borderId="1" xfId="0" applyFill="1" applyBorder="1" applyAlignment="1">
      <alignment horizontal="left"/>
    </xf>
    <xf numFmtId="4" fontId="2" fillId="0" borderId="1" xfId="0" applyNumberFormat="1" applyFont="1" applyBorder="1" applyAlignment="1">
      <alignment horizontal="left" vertical="center"/>
    </xf>
    <xf numFmtId="4" fontId="5" fillId="0" borderId="1" xfId="0" applyNumberFormat="1" applyFont="1" applyBorder="1" applyAlignment="1">
      <alignment horizontal="left"/>
    </xf>
    <xf numFmtId="4" fontId="0" fillId="0" borderId="0" xfId="1" applyNumberFormat="1" applyFont="1" applyAlignment="1">
      <alignment horizontal="left"/>
    </xf>
    <xf numFmtId="0" fontId="0" fillId="2" borderId="0" xfId="0" applyFill="1" applyAlignment="1">
      <alignment horizontal="left"/>
    </xf>
    <xf numFmtId="0" fontId="4" fillId="6" borderId="1" xfId="0" applyFont="1" applyFill="1" applyBorder="1" applyAlignment="1">
      <alignment horizontal="left"/>
    </xf>
    <xf numFmtId="4" fontId="2" fillId="6" borderId="1" xfId="0" applyNumberFormat="1" applyFont="1" applyFill="1" applyBorder="1" applyAlignment="1">
      <alignment horizontal="left"/>
    </xf>
    <xf numFmtId="0" fontId="2" fillId="6" borderId="1" xfId="0" applyFont="1" applyFill="1" applyBorder="1" applyAlignment="1">
      <alignment horizontal="left" wrapText="1"/>
    </xf>
    <xf numFmtId="0" fontId="3" fillId="6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 vertical="center"/>
    </xf>
    <xf numFmtId="0" fontId="0" fillId="6" borderId="0" xfId="0" applyFill="1" applyAlignment="1">
      <alignment horizontal="left"/>
    </xf>
    <xf numFmtId="0" fontId="0" fillId="5" borderId="0" xfId="0" applyFill="1" applyAlignment="1">
      <alignment horizontal="left"/>
    </xf>
    <xf numFmtId="43" fontId="4" fillId="2" borderId="1" xfId="1" applyFont="1" applyFill="1" applyBorder="1" applyAlignment="1">
      <alignment horizontal="left" vertical="top"/>
    </xf>
    <xf numFmtId="4" fontId="2" fillId="0" borderId="0" xfId="0" applyNumberFormat="1" applyFont="1" applyAlignment="1">
      <alignment horizontal="left" vertical="center"/>
    </xf>
    <xf numFmtId="0" fontId="2" fillId="8" borderId="1" xfId="0" applyFont="1" applyFill="1" applyBorder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 wrapText="1"/>
    </xf>
    <xf numFmtId="0" fontId="0" fillId="9" borderId="0" xfId="0" applyFill="1" applyAlignment="1">
      <alignment horizontal="left" wrapText="1"/>
    </xf>
    <xf numFmtId="4" fontId="0" fillId="9" borderId="0" xfId="0" applyNumberFormat="1" applyFill="1" applyAlignment="1">
      <alignment horizontal="left" wrapText="1"/>
    </xf>
    <xf numFmtId="0" fontId="0" fillId="9" borderId="0" xfId="0" applyFill="1" applyAlignment="1">
      <alignment horizontal="left"/>
    </xf>
    <xf numFmtId="0" fontId="0" fillId="9" borderId="3" xfId="0" applyFill="1" applyBorder="1" applyAlignment="1">
      <alignment horizontal="left"/>
    </xf>
    <xf numFmtId="0" fontId="2" fillId="9" borderId="0" xfId="0" applyFont="1" applyFill="1" applyAlignment="1">
      <alignment horizontal="left"/>
    </xf>
    <xf numFmtId="4" fontId="2" fillId="9" borderId="0" xfId="0" applyNumberFormat="1" applyFont="1" applyFill="1" applyAlignment="1">
      <alignment horizontal="left"/>
    </xf>
    <xf numFmtId="0" fontId="9" fillId="0" borderId="0" xfId="0" applyFont="1"/>
    <xf numFmtId="2" fontId="0" fillId="9" borderId="0" xfId="0" applyNumberFormat="1" applyFill="1" applyAlignment="1">
      <alignment horizontal="left" wrapText="1"/>
    </xf>
    <xf numFmtId="2" fontId="2" fillId="9" borderId="0" xfId="0" applyNumberFormat="1" applyFont="1" applyFill="1" applyAlignment="1">
      <alignment horizontal="left" wrapText="1"/>
    </xf>
    <xf numFmtId="4" fontId="2" fillId="10" borderId="1" xfId="0" applyNumberFormat="1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0" fontId="0" fillId="10" borderId="1" xfId="0" applyFill="1" applyBorder="1" applyAlignment="1">
      <alignment horizontal="left" vertical="top"/>
    </xf>
    <xf numFmtId="2" fontId="2" fillId="10" borderId="1" xfId="0" applyNumberFormat="1" applyFont="1" applyFill="1" applyBorder="1" applyAlignment="1">
      <alignment horizontal="left"/>
    </xf>
    <xf numFmtId="4" fontId="4" fillId="10" borderId="1" xfId="0" applyNumberFormat="1" applyFont="1" applyFill="1" applyBorder="1" applyAlignment="1">
      <alignment horizontal="left"/>
    </xf>
    <xf numFmtId="0" fontId="0" fillId="11" borderId="0" xfId="0" applyFill="1" applyAlignment="1">
      <alignment horizontal="left"/>
    </xf>
    <xf numFmtId="43" fontId="3" fillId="11" borderId="0" xfId="0" applyNumberFormat="1" applyFont="1" applyFill="1" applyAlignment="1">
      <alignment horizontal="left"/>
    </xf>
    <xf numFmtId="4" fontId="3" fillId="11" borderId="0" xfId="0" applyNumberFormat="1" applyFont="1" applyFill="1" applyAlignment="1">
      <alignment horizontal="left"/>
    </xf>
    <xf numFmtId="4" fontId="2" fillId="11" borderId="5" xfId="0" applyNumberFormat="1" applyFont="1" applyFill="1" applyBorder="1" applyAlignment="1">
      <alignment horizontal="left"/>
    </xf>
    <xf numFmtId="4" fontId="4" fillId="8" borderId="0" xfId="0" applyNumberFormat="1" applyFont="1" applyFill="1" applyAlignment="1">
      <alignment horizontal="left"/>
    </xf>
    <xf numFmtId="0" fontId="10" fillId="0" borderId="0" xfId="0" applyFont="1" applyAlignment="1">
      <alignment horizontal="left"/>
    </xf>
    <xf numFmtId="4" fontId="4" fillId="4" borderId="0" xfId="1" applyNumberFormat="1" applyFont="1" applyFill="1" applyAlignment="1">
      <alignment horizontal="left"/>
    </xf>
    <xf numFmtId="43" fontId="11" fillId="0" borderId="0" xfId="0" applyNumberFormat="1" applyFont="1" applyAlignment="1">
      <alignment horizontal="left"/>
    </xf>
    <xf numFmtId="43" fontId="0" fillId="5" borderId="0" xfId="1" applyFont="1" applyFill="1" applyAlignment="1">
      <alignment horizontal="left"/>
    </xf>
    <xf numFmtId="2" fontId="3" fillId="0" borderId="0" xfId="0" applyNumberFormat="1" applyFont="1" applyAlignment="1">
      <alignment horizontal="left"/>
    </xf>
    <xf numFmtId="15" fontId="2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43" fontId="8" fillId="5" borderId="0" xfId="1" applyFont="1" applyFill="1" applyAlignment="1">
      <alignment horizontal="left"/>
    </xf>
    <xf numFmtId="43" fontId="1" fillId="0" borderId="0" xfId="1" applyAlignment="1">
      <alignment horizontal="left"/>
    </xf>
    <xf numFmtId="0" fontId="0" fillId="8" borderId="1" xfId="0" applyFill="1" applyBorder="1" applyAlignment="1">
      <alignment horizontal="left"/>
    </xf>
    <xf numFmtId="4" fontId="0" fillId="8" borderId="1" xfId="0" applyNumberFormat="1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43" fontId="0" fillId="0" borderId="1" xfId="0" applyNumberFormat="1" applyBorder="1" applyAlignment="1">
      <alignment horizontal="left"/>
    </xf>
    <xf numFmtId="43" fontId="5" fillId="0" borderId="1" xfId="0" applyNumberFormat="1" applyFont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43" fontId="3" fillId="0" borderId="1" xfId="0" applyNumberFormat="1" applyFont="1" applyBorder="1" applyAlignment="1">
      <alignment horizontal="left"/>
    </xf>
    <xf numFmtId="4" fontId="4" fillId="0" borderId="1" xfId="0" applyNumberFormat="1" applyFont="1" applyBorder="1" applyAlignment="1">
      <alignment horizontal="left"/>
    </xf>
    <xf numFmtId="43" fontId="7" fillId="0" borderId="1" xfId="1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4" fontId="13" fillId="0" borderId="1" xfId="0" applyNumberFormat="1" applyFont="1" applyBorder="1" applyAlignment="1">
      <alignment horizontal="left"/>
    </xf>
    <xf numFmtId="43" fontId="7" fillId="0" borderId="0" xfId="0" applyNumberFormat="1" applyFont="1" applyAlignment="1">
      <alignment horizontal="left"/>
    </xf>
    <xf numFmtId="43" fontId="7" fillId="0" borderId="0" xfId="1" applyFont="1" applyAlignment="1">
      <alignment horizontal="left"/>
    </xf>
    <xf numFmtId="0" fontId="7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center"/>
    </xf>
    <xf numFmtId="9" fontId="0" fillId="0" borderId="1" xfId="2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43" fontId="7" fillId="0" borderId="1" xfId="0" applyNumberFormat="1" applyFont="1" applyBorder="1" applyAlignment="1">
      <alignment horizontal="center"/>
    </xf>
    <xf numFmtId="0" fontId="14" fillId="0" borderId="0" xfId="0" applyFont="1" applyAlignment="1">
      <alignment horizontal="left"/>
    </xf>
    <xf numFmtId="0" fontId="2" fillId="7" borderId="1" xfId="0" applyFont="1" applyFill="1" applyBorder="1" applyAlignment="1">
      <alignment horizontal="left"/>
    </xf>
    <xf numFmtId="4" fontId="2" fillId="7" borderId="1" xfId="0" applyNumberFormat="1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0" fillId="0" borderId="6" xfId="0" applyBorder="1"/>
    <xf numFmtId="0" fontId="0" fillId="0" borderId="4" xfId="0" applyBorder="1"/>
    <xf numFmtId="0" fontId="2" fillId="6" borderId="5" xfId="0" applyFont="1" applyFill="1" applyBorder="1" applyAlignment="1">
      <alignment horizontal="left"/>
    </xf>
    <xf numFmtId="0" fontId="0" fillId="0" borderId="7" xfId="0" applyBorder="1"/>
    <xf numFmtId="0" fontId="2" fillId="4" borderId="1" xfId="0" applyFont="1" applyFill="1" applyBorder="1" applyAlignment="1">
      <alignment horizontal="left"/>
    </xf>
    <xf numFmtId="0" fontId="0" fillId="0" borderId="2" xfId="0" applyBorder="1"/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4" fillId="10" borderId="1" xfId="0" applyFont="1" applyFill="1" applyBorder="1" applyAlignment="1">
      <alignment horizontal="left"/>
    </xf>
    <xf numFmtId="0" fontId="2" fillId="9" borderId="0" xfId="0" applyFont="1" applyFill="1" applyAlignment="1">
      <alignment horizontal="center"/>
    </xf>
    <xf numFmtId="0" fontId="0" fillId="2" borderId="0" xfId="0" applyFill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0</xdr:row>
      <xdr:rowOff>0</xdr:rowOff>
    </xdr:from>
    <xdr:ext cx="20154900" cy="323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18"/>
  <sheetViews>
    <sheetView tabSelected="1" workbookViewId="0">
      <selection activeCell="D83" sqref="D83"/>
    </sheetView>
  </sheetViews>
  <sheetFormatPr defaultColWidth="8.7109375" defaultRowHeight="15"/>
  <cols>
    <col min="1" max="1" width="60.7109375" style="1" customWidth="1"/>
    <col min="2" max="2" width="21.28515625" style="1" customWidth="1"/>
    <col min="3" max="3" width="19.28515625" style="1" customWidth="1"/>
    <col min="4" max="4" width="19.140625" style="36" customWidth="1"/>
    <col min="5" max="5" width="33.28515625" style="1" customWidth="1"/>
    <col min="6" max="6" width="19.140625" style="63" customWidth="1"/>
    <col min="7" max="7" width="13.140625" style="63" customWidth="1"/>
    <col min="8" max="8" width="15.85546875" style="63" customWidth="1"/>
    <col min="9" max="9" width="13.42578125" style="63" customWidth="1"/>
    <col min="10" max="10" width="11" style="63" customWidth="1"/>
    <col min="11" max="11" width="14.42578125" style="1" customWidth="1"/>
    <col min="12" max="12" width="11.140625" style="1" customWidth="1"/>
    <col min="13" max="13" width="12.42578125" style="1" customWidth="1"/>
    <col min="14" max="14" width="12.5703125" style="1" customWidth="1"/>
    <col min="15" max="15" width="13.140625" style="1" customWidth="1"/>
    <col min="16" max="16" width="17.5703125" style="1" customWidth="1"/>
    <col min="17" max="17" width="20.7109375" style="1" customWidth="1"/>
    <col min="18" max="18" width="17.5703125" style="1" customWidth="1"/>
    <col min="19" max="19" width="24.85546875" style="1" customWidth="1"/>
    <col min="20" max="20" width="26" style="1" customWidth="1"/>
    <col min="21" max="21" width="22.28515625" style="1" customWidth="1"/>
    <col min="22" max="22" width="22.7109375" style="1" customWidth="1"/>
    <col min="23" max="23" width="15.85546875" style="1" customWidth="1"/>
    <col min="24" max="24" width="14.140625" style="1" customWidth="1"/>
    <col min="25" max="25" width="11.28515625" style="1" customWidth="1"/>
    <col min="26" max="26" width="13.140625" style="35" customWidth="1"/>
    <col min="27" max="27" width="9" style="1" bestFit="1" customWidth="1"/>
    <col min="28" max="28" width="8.7109375" style="1" customWidth="1"/>
    <col min="29" max="16384" width="8.7109375" style="1"/>
  </cols>
  <sheetData>
    <row r="1" spans="1:40" s="76" customFormat="1">
      <c r="A1" s="75" t="s">
        <v>0</v>
      </c>
      <c r="D1" s="7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40">
      <c r="A2" s="4"/>
      <c r="B2" s="4" t="s">
        <v>1</v>
      </c>
      <c r="C2" s="4" t="s">
        <v>2</v>
      </c>
      <c r="D2" s="72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/>
      <c r="O2" s="5"/>
    </row>
    <row r="3" spans="1:40" s="31" customFormat="1">
      <c r="A3" s="23" t="s">
        <v>13</v>
      </c>
      <c r="B3" s="24"/>
      <c r="C3" s="24"/>
      <c r="D3" s="30">
        <f>B3-C3</f>
        <v>0</v>
      </c>
      <c r="E3" s="25">
        <f>D15</f>
        <v>0</v>
      </c>
      <c r="F3" s="31">
        <f>E3-D3</f>
        <v>0</v>
      </c>
      <c r="G3" s="30">
        <f>E3-5.5</f>
        <v>-5.5</v>
      </c>
      <c r="H3" s="32">
        <f>G3*2.61</f>
        <v>-14.354999999999999</v>
      </c>
      <c r="I3" s="32"/>
      <c r="J3" s="32"/>
      <c r="K3" s="32"/>
      <c r="L3" s="32">
        <f>F3*C67</f>
        <v>0</v>
      </c>
      <c r="M3" s="32"/>
      <c r="N3" s="32"/>
      <c r="O3" s="32"/>
      <c r="Z3" s="33"/>
    </row>
    <row r="4" spans="1:40" s="31" customFormat="1">
      <c r="A4" s="23" t="s">
        <v>14</v>
      </c>
      <c r="B4" s="24"/>
      <c r="C4" s="24"/>
      <c r="D4" s="30">
        <f>B4-C4</f>
        <v>0</v>
      </c>
      <c r="E4" s="25">
        <f>D16</f>
        <v>0</v>
      </c>
      <c r="F4" s="31">
        <f>E4-D4</f>
        <v>0</v>
      </c>
      <c r="G4" s="30">
        <f>E4-5.5</f>
        <v>-5.5</v>
      </c>
      <c r="H4" s="32">
        <f>G4*4.14</f>
        <v>-22.77</v>
      </c>
      <c r="I4" s="83">
        <f>H3+H4</f>
        <v>-37.125</v>
      </c>
      <c r="J4" s="26">
        <f>F26</f>
        <v>0</v>
      </c>
      <c r="K4" s="84">
        <f>I4+J4</f>
        <v>-37.125</v>
      </c>
      <c r="L4" s="32">
        <f>F4*C68</f>
        <v>0</v>
      </c>
      <c r="M4" s="83">
        <f>L3+L4</f>
        <v>0</v>
      </c>
      <c r="N4" s="1"/>
      <c r="O4" s="34"/>
      <c r="P4" s="32"/>
      <c r="Z4" s="33"/>
    </row>
    <row r="5" spans="1:40" s="3" customFormat="1">
      <c r="A5" s="128" t="s">
        <v>15</v>
      </c>
      <c r="B5" s="129"/>
      <c r="C5" s="129"/>
      <c r="D5" s="129"/>
      <c r="E5" s="130"/>
      <c r="F5" s="79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s="3" customFormat="1" ht="30" customHeight="1">
      <c r="A6" s="5" t="s">
        <v>16</v>
      </c>
      <c r="B6" s="4" t="s">
        <v>17</v>
      </c>
      <c r="C6" s="4" t="s">
        <v>18</v>
      </c>
      <c r="D6" s="22" t="s">
        <v>19</v>
      </c>
      <c r="E6" s="4" t="s">
        <v>20</v>
      </c>
      <c r="F6" s="4" t="s">
        <v>21</v>
      </c>
      <c r="G6" s="4"/>
      <c r="H6" s="35"/>
      <c r="I6" s="3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35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s="3" customFormat="1">
      <c r="A7" s="5" t="s">
        <v>22</v>
      </c>
      <c r="B7" s="10"/>
      <c r="C7" s="10"/>
      <c r="D7" s="36">
        <f>B7-C7</f>
        <v>0</v>
      </c>
      <c r="E7" s="1"/>
      <c r="F7" s="1">
        <f>(D7*E7)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35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s="3" customFormat="1">
      <c r="A8" s="5" t="s">
        <v>23</v>
      </c>
      <c r="B8" s="10"/>
      <c r="C8" s="10"/>
      <c r="D8" s="36">
        <f>B8-C8</f>
        <v>0</v>
      </c>
      <c r="E8" s="1"/>
      <c r="F8" s="1">
        <f>(D8*E8)</f>
        <v>0</v>
      </c>
      <c r="G8" s="1"/>
      <c r="H8" s="96" t="s">
        <v>24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35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s="3" customFormat="1">
      <c r="A9" s="5"/>
      <c r="B9" s="5"/>
      <c r="C9" s="5"/>
      <c r="D9" s="36"/>
      <c r="E9" s="1"/>
      <c r="F9" s="5">
        <f>SUM(F7:F8)</f>
        <v>0</v>
      </c>
      <c r="G9" s="5"/>
      <c r="H9" s="10" t="s">
        <v>25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35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s="3" customFormat="1">
      <c r="A10" s="5" t="s">
        <v>26</v>
      </c>
      <c r="B10" s="5"/>
      <c r="C10" s="5"/>
      <c r="D10" s="37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35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pans="1:40" s="3" customFormat="1">
      <c r="A11" s="5" t="s">
        <v>22</v>
      </c>
      <c r="B11" s="49"/>
      <c r="C11" s="49"/>
      <c r="D11" s="36">
        <f>B11-C11</f>
        <v>0</v>
      </c>
      <c r="E11" s="1"/>
      <c r="F11" s="1">
        <f>D11*E11</f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35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s="3" customFormat="1">
      <c r="A12" s="5" t="s">
        <v>23</v>
      </c>
      <c r="B12" s="49"/>
      <c r="C12" s="49"/>
      <c r="D12" s="36">
        <f>B12-C12</f>
        <v>0</v>
      </c>
      <c r="E12" s="1"/>
      <c r="F12" s="1">
        <f>D12*E12</f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35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pans="1:40" s="3" customFormat="1">
      <c r="A13" s="5"/>
      <c r="B13" s="10"/>
      <c r="C13" s="10"/>
      <c r="D13" s="36"/>
      <c r="E13" s="1"/>
      <c r="F13" s="5">
        <f>SUM(F11:F12)</f>
        <v>0</v>
      </c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35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pans="1:40" s="3" customFormat="1">
      <c r="A14" s="5"/>
      <c r="B14" s="80" t="s">
        <v>27</v>
      </c>
      <c r="C14" s="80" t="s">
        <v>28</v>
      </c>
      <c r="D14" s="37" t="s">
        <v>29</v>
      </c>
      <c r="E14" s="1"/>
      <c r="F14" s="1"/>
      <c r="G14" s="1"/>
      <c r="H14" s="1" t="s">
        <v>30</v>
      </c>
      <c r="I14" s="82" t="s">
        <v>31</v>
      </c>
      <c r="J14" s="1" t="s">
        <v>32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Z14" s="38"/>
    </row>
    <row r="15" spans="1:40" s="3" customFormat="1">
      <c r="A15" s="5" t="s">
        <v>13</v>
      </c>
      <c r="B15" s="21">
        <f>D7</f>
        <v>0</v>
      </c>
      <c r="C15" s="21">
        <f>D11</f>
        <v>0</v>
      </c>
      <c r="D15" s="36">
        <f>B15+C15</f>
        <v>0</v>
      </c>
      <c r="E15" s="1"/>
      <c r="F15" s="1">
        <f>(D15*E15)</f>
        <v>0</v>
      </c>
      <c r="G15" s="1"/>
      <c r="H15" s="1"/>
      <c r="I15" s="1" t="s">
        <v>33</v>
      </c>
      <c r="J15" s="1" t="s">
        <v>34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Z15" s="38"/>
    </row>
    <row r="16" spans="1:40" s="3" customFormat="1">
      <c r="A16" s="5" t="s">
        <v>35</v>
      </c>
      <c r="B16" s="21">
        <f>D8</f>
        <v>0</v>
      </c>
      <c r="C16" s="21">
        <f>D12</f>
        <v>0</v>
      </c>
      <c r="D16" s="36">
        <f>B16+C16</f>
        <v>0</v>
      </c>
      <c r="E16" s="1"/>
      <c r="F16" s="1">
        <f>(D16*E16)</f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Z16" s="38"/>
    </row>
    <row r="17" spans="1:26" s="3" customFormat="1">
      <c r="A17" s="5" t="s">
        <v>36</v>
      </c>
      <c r="B17" s="1" t="s">
        <v>37</v>
      </c>
      <c r="C17" s="1"/>
      <c r="D17" s="37"/>
      <c r="E17" s="80" t="s">
        <v>29</v>
      </c>
      <c r="F17" s="80">
        <f>SUM(F15:F16)</f>
        <v>0</v>
      </c>
      <c r="G17" s="1"/>
      <c r="H17" s="1"/>
      <c r="I17" s="1"/>
      <c r="J17" s="49"/>
      <c r="K17" s="4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Z17" s="38"/>
    </row>
    <row r="18" spans="1:26" s="3" customFormat="1">
      <c r="A18" s="126" t="s">
        <v>38</v>
      </c>
      <c r="B18" s="126" t="s">
        <v>39</v>
      </c>
      <c r="C18" s="126" t="s">
        <v>20</v>
      </c>
      <c r="D18" s="127" t="s">
        <v>40</v>
      </c>
      <c r="E18" s="126" t="s">
        <v>41</v>
      </c>
      <c r="F18" s="126" t="s">
        <v>42</v>
      </c>
      <c r="H18" s="1"/>
      <c r="I18" s="1"/>
      <c r="J18" s="49"/>
      <c r="K18" s="4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Z18" s="38"/>
    </row>
    <row r="19" spans="1:26" s="3" customFormat="1">
      <c r="A19" s="125"/>
      <c r="B19" s="1"/>
      <c r="C19" s="1"/>
      <c r="D19" s="1"/>
      <c r="E19" s="1">
        <f t="shared" ref="E19:E25" si="0">D19-B19</f>
        <v>0</v>
      </c>
      <c r="F19" s="1">
        <f>SUM(B19*C19)</f>
        <v>0</v>
      </c>
      <c r="G19" s="1"/>
      <c r="H19" s="1"/>
      <c r="I19" s="1"/>
      <c r="J19" s="49"/>
      <c r="K19" s="49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Z19" s="38"/>
    </row>
    <row r="20" spans="1:26" s="3" customFormat="1">
      <c r="A20" s="125"/>
      <c r="B20" s="1"/>
      <c r="C20" s="1"/>
      <c r="D20" s="1"/>
      <c r="E20" s="1">
        <f t="shared" si="0"/>
        <v>0</v>
      </c>
      <c r="F20" s="1">
        <f>SUM(B20*C20)</f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Z20" s="38"/>
    </row>
    <row r="21" spans="1:26" s="3" customFormat="1">
      <c r="A21" s="125"/>
      <c r="B21" s="1"/>
      <c r="C21" s="1"/>
      <c r="D21" s="1"/>
      <c r="E21" s="1">
        <f t="shared" si="0"/>
        <v>0</v>
      </c>
      <c r="F21" s="1">
        <f>SUM(B21*C21)</f>
        <v>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Z21" s="38"/>
    </row>
    <row r="22" spans="1:26" s="3" customFormat="1">
      <c r="A22" s="125"/>
      <c r="B22" s="1"/>
      <c r="C22" s="1"/>
      <c r="D22" s="1"/>
      <c r="E22" s="1">
        <f t="shared" si="0"/>
        <v>0</v>
      </c>
      <c r="F22" s="1">
        <f>SUM(B22*C22)</f>
        <v>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Z22" s="38"/>
    </row>
    <row r="23" spans="1:26" s="3" customFormat="1">
      <c r="A23" s="125"/>
      <c r="B23" s="1"/>
      <c r="C23" s="1"/>
      <c r="D23" s="1"/>
      <c r="E23" s="1">
        <f t="shared" si="0"/>
        <v>0</v>
      </c>
      <c r="F23" s="1">
        <f>SUM(B23*C23)</f>
        <v>0</v>
      </c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Z23" s="38"/>
    </row>
    <row r="24" spans="1:26" s="3" customFormat="1">
      <c r="A24" s="125"/>
      <c r="B24" s="1"/>
      <c r="C24" s="1"/>
      <c r="D24" s="1"/>
      <c r="E24" s="1">
        <f t="shared" si="0"/>
        <v>0</v>
      </c>
      <c r="F24" s="1">
        <f>B24*C24</f>
        <v>0</v>
      </c>
      <c r="G24" s="1"/>
      <c r="H24" s="1"/>
      <c r="I24" s="1"/>
      <c r="J24" s="10"/>
      <c r="K24" s="10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Z24" s="38"/>
    </row>
    <row r="25" spans="1:26" s="3" customFormat="1">
      <c r="A25" s="125"/>
      <c r="B25" s="1"/>
      <c r="C25" s="1"/>
      <c r="D25" s="1"/>
      <c r="E25" s="1">
        <f t="shared" si="0"/>
        <v>0</v>
      </c>
      <c r="F25" s="1">
        <f>SUM(B25*C25)</f>
        <v>0</v>
      </c>
      <c r="G25" s="1"/>
      <c r="H25" s="1"/>
      <c r="I25" s="1"/>
      <c r="J25" s="10"/>
      <c r="K25" s="10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Z25" s="38"/>
    </row>
    <row r="26" spans="1:26" s="3" customFormat="1">
      <c r="A26" s="5" t="s">
        <v>43</v>
      </c>
      <c r="B26" s="1"/>
      <c r="C26" s="1"/>
      <c r="D26" s="37"/>
      <c r="E26" s="5"/>
      <c r="F26" s="5">
        <f>F19+F20+F21+F22+F23+F24+F25</f>
        <v>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Z26" s="38"/>
    </row>
    <row r="27" spans="1:26">
      <c r="A27" s="80" t="s">
        <v>44</v>
      </c>
      <c r="B27" s="78"/>
      <c r="C27" s="78"/>
      <c r="D27" s="81"/>
      <c r="E27" s="140">
        <f>F17+F26</f>
        <v>0</v>
      </c>
      <c r="F27" s="141"/>
      <c r="G27" s="140"/>
      <c r="H27" s="141"/>
      <c r="I27" s="1"/>
      <c r="J27" s="1"/>
      <c r="K27" s="5"/>
    </row>
    <row r="28" spans="1:26">
      <c r="A28" s="136" t="s">
        <v>45</v>
      </c>
      <c r="B28" s="132"/>
      <c r="C28" s="134"/>
      <c r="D28" s="85">
        <v>0</v>
      </c>
      <c r="E28" s="16"/>
      <c r="F28" s="1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4"/>
      <c r="X28" s="5"/>
      <c r="Z28" s="1"/>
    </row>
    <row r="29" spans="1:26">
      <c r="A29" s="3" t="s">
        <v>46</v>
      </c>
      <c r="B29" s="14"/>
      <c r="C29" s="3"/>
      <c r="D29" s="39"/>
      <c r="E29" s="1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4"/>
      <c r="X29" s="5"/>
    </row>
    <row r="30" spans="1:26">
      <c r="A30" s="3" t="s">
        <v>47</v>
      </c>
      <c r="B30" s="14"/>
      <c r="C30" s="3"/>
      <c r="D30" s="39"/>
      <c r="E30" s="16"/>
      <c r="F30" s="5"/>
      <c r="G30" s="125"/>
      <c r="H30" s="1"/>
      <c r="I30" s="1"/>
      <c r="J30" s="1"/>
      <c r="N30" s="5"/>
      <c r="O30" s="5"/>
      <c r="P30" s="5"/>
      <c r="Q30" s="5"/>
      <c r="R30" s="5"/>
      <c r="S30" s="5"/>
      <c r="T30" s="5"/>
      <c r="U30" s="5"/>
      <c r="V30" s="5"/>
      <c r="W30" s="4"/>
      <c r="X30" s="5"/>
    </row>
    <row r="31" spans="1:26">
      <c r="A31" s="3" t="s">
        <v>48</v>
      </c>
      <c r="B31" s="14"/>
      <c r="C31" s="3"/>
      <c r="D31" s="39"/>
      <c r="E31" s="1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4"/>
      <c r="X31" s="5"/>
    </row>
    <row r="32" spans="1:26">
      <c r="A32" s="3" t="s">
        <v>49</v>
      </c>
      <c r="B32" s="14"/>
      <c r="C32" s="3"/>
      <c r="D32" s="39"/>
      <c r="E32" s="16"/>
      <c r="F32" s="5"/>
      <c r="G32" s="1"/>
      <c r="H32" s="1"/>
      <c r="I32" s="1"/>
      <c r="J32" s="1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4"/>
      <c r="X32" s="5"/>
    </row>
    <row r="33" spans="1:26">
      <c r="A33" s="3" t="s">
        <v>50</v>
      </c>
      <c r="B33" s="14"/>
      <c r="C33" s="3"/>
      <c r="D33" s="39"/>
      <c r="E33" s="5"/>
      <c r="F33" s="5"/>
      <c r="G33" s="1"/>
      <c r="H33" s="1"/>
      <c r="I33" s="1"/>
      <c r="J33" s="1"/>
      <c r="M33" s="5"/>
      <c r="N33" s="5"/>
      <c r="O33" s="5"/>
      <c r="P33" s="5"/>
      <c r="Q33" s="5"/>
      <c r="R33" s="5"/>
      <c r="S33" s="5"/>
      <c r="T33" s="5"/>
      <c r="U33" s="5"/>
      <c r="V33" s="5"/>
      <c r="W33" s="4"/>
      <c r="X33" s="5"/>
    </row>
    <row r="34" spans="1:26">
      <c r="A34" s="3" t="s">
        <v>51</v>
      </c>
      <c r="B34" s="14">
        <f>SUM(B29:B33)</f>
        <v>0</v>
      </c>
      <c r="C34" s="17"/>
      <c r="D34" s="39"/>
      <c r="E34" s="11"/>
      <c r="F34" s="11"/>
      <c r="G34" s="5"/>
      <c r="H34" s="5"/>
      <c r="I34" s="5"/>
      <c r="J34" s="5"/>
      <c r="M34" s="20"/>
      <c r="N34" s="10"/>
    </row>
    <row r="35" spans="1:26">
      <c r="A35" s="3" t="s">
        <v>52</v>
      </c>
      <c r="B35" s="17"/>
      <c r="C35" s="3"/>
      <c r="D35" s="14">
        <f>B34</f>
        <v>0</v>
      </c>
      <c r="E35" s="11"/>
      <c r="F35" s="11"/>
      <c r="G35" s="5"/>
      <c r="H35" s="7"/>
      <c r="I35" s="5"/>
      <c r="J35" s="5"/>
    </row>
    <row r="36" spans="1:26">
      <c r="A36" s="3" t="s">
        <v>53</v>
      </c>
      <c r="B36" s="12"/>
      <c r="C36" s="3"/>
      <c r="D36" s="14"/>
      <c r="E36" s="11" t="s">
        <v>54</v>
      </c>
      <c r="F36" s="11"/>
      <c r="G36" s="5"/>
      <c r="H36" s="7"/>
      <c r="I36" s="5"/>
      <c r="J36" s="5"/>
    </row>
    <row r="37" spans="1:26">
      <c r="A37" s="3" t="s">
        <v>55</v>
      </c>
      <c r="B37" s="3"/>
      <c r="C37" s="3"/>
      <c r="D37" s="14"/>
      <c r="E37" s="11"/>
      <c r="F37" s="11"/>
      <c r="G37" s="5"/>
      <c r="H37" s="37"/>
      <c r="I37" s="7"/>
      <c r="J37" s="5"/>
    </row>
    <row r="38" spans="1:26">
      <c r="A38" s="3" t="s">
        <v>56</v>
      </c>
      <c r="B38" s="3"/>
      <c r="C38" s="3"/>
      <c r="D38" s="14"/>
      <c r="E38" s="11"/>
      <c r="F38" s="11"/>
      <c r="G38" s="5"/>
      <c r="H38" s="5"/>
      <c r="I38" s="5"/>
      <c r="J38" s="5"/>
    </row>
    <row r="39" spans="1:26">
      <c r="A39" s="3" t="s">
        <v>57</v>
      </c>
      <c r="B39" s="3"/>
      <c r="C39" s="3"/>
      <c r="D39" s="14"/>
      <c r="E39" s="11"/>
      <c r="F39" s="11"/>
      <c r="G39" s="5"/>
      <c r="H39" s="7"/>
      <c r="I39" s="5"/>
      <c r="J39" s="5"/>
    </row>
    <row r="40" spans="1:26">
      <c r="A40" s="3" t="s">
        <v>58</v>
      </c>
      <c r="B40" s="9"/>
      <c r="C40" s="9"/>
      <c r="D40" s="14"/>
      <c r="E40" s="11"/>
      <c r="F40" s="100"/>
      <c r="G40" s="5"/>
      <c r="H40" s="5"/>
      <c r="I40" s="5"/>
      <c r="J40" s="5"/>
    </row>
    <row r="41" spans="1:26">
      <c r="A41" s="86" t="s">
        <v>59</v>
      </c>
      <c r="B41" s="87"/>
      <c r="C41" s="88"/>
      <c r="D41" s="89">
        <f>SUM(D35:D40)</f>
        <v>0</v>
      </c>
      <c r="E41" s="11"/>
      <c r="F41" s="11"/>
      <c r="G41" s="5"/>
      <c r="H41" s="5"/>
      <c r="I41" s="5"/>
      <c r="J41" s="5"/>
    </row>
    <row r="42" spans="1:26">
      <c r="A42" s="86" t="s">
        <v>60</v>
      </c>
      <c r="B42" s="5"/>
      <c r="C42" s="5"/>
      <c r="D42" s="5"/>
      <c r="E42" s="11"/>
      <c r="F42" s="11"/>
      <c r="G42" s="5"/>
      <c r="H42" s="5"/>
      <c r="I42" s="5"/>
      <c r="J42" s="5"/>
    </row>
    <row r="43" spans="1:26" s="5" customFormat="1">
      <c r="A43" s="27"/>
      <c r="B43" s="15"/>
      <c r="C43" s="15"/>
      <c r="D43" s="13"/>
      <c r="E43" s="11"/>
      <c r="F43" s="11"/>
      <c r="K43" s="1"/>
      <c r="L43" s="1"/>
      <c r="Z43" s="4"/>
    </row>
    <row r="44" spans="1:26" s="5" customFormat="1">
      <c r="A44" s="27"/>
      <c r="B44" s="15"/>
      <c r="C44" s="15"/>
      <c r="D44" s="61"/>
      <c r="E44" s="11"/>
      <c r="F44" s="41"/>
      <c r="K44" s="1"/>
      <c r="L44" s="1"/>
      <c r="Z44" s="4"/>
    </row>
    <row r="45" spans="1:26" s="5" customFormat="1">
      <c r="A45" s="27"/>
      <c r="B45" s="15"/>
      <c r="C45" s="15"/>
      <c r="D45" s="61"/>
      <c r="E45" s="11"/>
      <c r="F45" s="11"/>
      <c r="K45" s="1"/>
      <c r="L45" s="1"/>
      <c r="Z45" s="4"/>
    </row>
    <row r="46" spans="1:26" s="5" customFormat="1">
      <c r="A46" s="27"/>
      <c r="B46" s="15"/>
      <c r="C46" s="15"/>
      <c r="D46" s="61"/>
      <c r="E46" s="11"/>
      <c r="F46" s="11"/>
      <c r="K46" s="1"/>
      <c r="L46" s="1"/>
      <c r="Z46" s="4"/>
    </row>
    <row r="47" spans="1:26">
      <c r="A47" s="139" t="s">
        <v>61</v>
      </c>
      <c r="B47" s="132"/>
      <c r="C47" s="134"/>
      <c r="D47" s="90">
        <f>SUM(D41:D46)</f>
        <v>0</v>
      </c>
      <c r="E47" s="11"/>
      <c r="F47" s="11"/>
      <c r="G47" s="5"/>
      <c r="H47" s="5"/>
      <c r="I47" s="5"/>
      <c r="J47" s="5"/>
      <c r="M47" s="10"/>
    </row>
    <row r="48" spans="1:26">
      <c r="A48" s="135" t="s">
        <v>62</v>
      </c>
      <c r="B48" s="132"/>
      <c r="C48" s="134"/>
      <c r="D48" s="94"/>
      <c r="E48" s="11"/>
      <c r="F48" s="11"/>
      <c r="G48" s="5"/>
      <c r="H48" s="5"/>
      <c r="I48" s="5"/>
      <c r="J48" s="5"/>
      <c r="M48" s="10"/>
    </row>
    <row r="49" spans="1:13">
      <c r="A49" s="1" t="s">
        <v>63</v>
      </c>
      <c r="B49" s="19"/>
      <c r="C49" s="40"/>
      <c r="D49" s="37"/>
      <c r="E49" s="40"/>
      <c r="F49" s="11"/>
      <c r="G49" s="5"/>
      <c r="H49" s="5"/>
      <c r="I49" s="37"/>
      <c r="J49" s="37"/>
      <c r="M49" s="10"/>
    </row>
    <row r="50" spans="1:13">
      <c r="A50" s="1" t="s">
        <v>64</v>
      </c>
      <c r="C50" s="40"/>
      <c r="D50" s="41"/>
      <c r="E50" s="40"/>
      <c r="F50" s="11"/>
      <c r="G50" s="5"/>
      <c r="H50" s="5"/>
      <c r="I50" s="5"/>
      <c r="J50" s="5"/>
      <c r="M50" s="10"/>
    </row>
    <row r="51" spans="1:13">
      <c r="A51" s="1" t="s">
        <v>65</v>
      </c>
      <c r="B51" s="19"/>
      <c r="C51" s="42"/>
      <c r="D51" s="41">
        <f>D49+D50</f>
        <v>0</v>
      </c>
      <c r="E51" s="11"/>
      <c r="F51" s="11"/>
      <c r="G51" s="37"/>
      <c r="H51" s="5"/>
      <c r="I51" s="5"/>
      <c r="J51" s="5"/>
      <c r="M51" s="10"/>
    </row>
    <row r="52" spans="1:13">
      <c r="A52" s="1" t="s">
        <v>66</v>
      </c>
      <c r="B52" s="6"/>
      <c r="C52" s="40"/>
      <c r="D52" s="41">
        <f>D47</f>
        <v>0</v>
      </c>
      <c r="E52" s="11" t="s">
        <v>67</v>
      </c>
      <c r="F52" s="11"/>
      <c r="G52" s="1"/>
      <c r="H52" s="1"/>
      <c r="I52" s="1"/>
      <c r="J52" s="1"/>
      <c r="M52" s="10"/>
    </row>
    <row r="53" spans="1:13">
      <c r="A53" s="91" t="s">
        <v>68</v>
      </c>
      <c r="B53" s="91"/>
      <c r="C53" s="92"/>
      <c r="D53" s="93">
        <f>D52-D51</f>
        <v>0</v>
      </c>
      <c r="E53" s="11" t="s">
        <v>69</v>
      </c>
      <c r="F53" s="11"/>
      <c r="G53" s="1"/>
      <c r="H53" s="1"/>
      <c r="I53" s="1"/>
      <c r="J53" s="1"/>
      <c r="M53" s="10"/>
    </row>
    <row r="54" spans="1:13" ht="21" customHeight="1">
      <c r="A54" s="5" t="s">
        <v>70</v>
      </c>
      <c r="D54" s="1"/>
      <c r="E54" s="114" t="s">
        <v>71</v>
      </c>
      <c r="F54" s="116">
        <f>D53</f>
        <v>0</v>
      </c>
      <c r="G54" s="1"/>
      <c r="H54" s="1"/>
      <c r="I54" s="1"/>
      <c r="J54" s="1"/>
      <c r="M54" s="10"/>
    </row>
    <row r="55" spans="1:13" ht="21" customHeight="1">
      <c r="D55" s="1"/>
      <c r="E55" s="115" t="s">
        <v>72</v>
      </c>
      <c r="F55" s="116"/>
      <c r="G55" s="1"/>
      <c r="H55" s="1"/>
      <c r="I55" s="1"/>
      <c r="J55" s="1"/>
      <c r="M55" s="10"/>
    </row>
    <row r="56" spans="1:13" ht="18.75" customHeight="1">
      <c r="D56" s="1"/>
      <c r="E56" s="119" t="s">
        <v>73</v>
      </c>
      <c r="F56" s="120">
        <f>F54-F55</f>
        <v>0</v>
      </c>
      <c r="G56" s="1"/>
      <c r="H56" s="1"/>
      <c r="I56" s="1"/>
      <c r="J56" s="1"/>
      <c r="M56" s="10"/>
    </row>
    <row r="57" spans="1:13">
      <c r="D57" s="1"/>
      <c r="E57" s="11"/>
      <c r="F57" s="11"/>
      <c r="G57" s="1"/>
      <c r="H57" s="1"/>
      <c r="I57" s="1"/>
      <c r="J57" s="1"/>
      <c r="M57" s="10"/>
    </row>
    <row r="58" spans="1:13">
      <c r="D58" s="1"/>
      <c r="E58" s="11"/>
      <c r="F58" s="11"/>
      <c r="G58" s="1"/>
      <c r="H58" s="1"/>
      <c r="I58" s="1"/>
      <c r="J58" s="1"/>
      <c r="M58" s="10"/>
    </row>
    <row r="59" spans="1:13">
      <c r="A59" s="5" t="s">
        <v>74</v>
      </c>
      <c r="D59" s="1"/>
      <c r="E59" s="11"/>
      <c r="F59" s="11"/>
      <c r="G59" s="1"/>
      <c r="H59" s="1"/>
      <c r="I59" s="1"/>
      <c r="J59" s="1"/>
      <c r="M59" s="10"/>
    </row>
    <row r="60" spans="1:13">
      <c r="B60" s="102"/>
      <c r="D60" s="1"/>
      <c r="E60" s="11"/>
      <c r="F60" s="11"/>
      <c r="G60" s="1"/>
      <c r="H60" s="1"/>
      <c r="I60" s="1"/>
      <c r="J60" s="1"/>
      <c r="M60" s="10"/>
    </row>
    <row r="61" spans="1:13">
      <c r="D61" s="1"/>
      <c r="E61" s="11"/>
      <c r="F61" s="11"/>
      <c r="G61" s="1"/>
      <c r="H61" s="1"/>
      <c r="I61" s="1"/>
      <c r="J61" s="1"/>
      <c r="M61" s="10"/>
    </row>
    <row r="62" spans="1:13">
      <c r="D62" s="1"/>
      <c r="E62" s="11"/>
      <c r="F62" s="11"/>
      <c r="G62" s="1"/>
      <c r="H62" s="1"/>
      <c r="I62" s="1"/>
      <c r="J62" s="1"/>
      <c r="M62" s="10"/>
    </row>
    <row r="63" spans="1:13">
      <c r="D63" s="1"/>
      <c r="E63" s="11"/>
      <c r="F63" s="11"/>
      <c r="G63" s="1"/>
      <c r="H63" s="1"/>
      <c r="I63" s="1"/>
      <c r="J63" s="1"/>
      <c r="M63" s="10"/>
    </row>
    <row r="64" spans="1:13">
      <c r="D64" s="1"/>
      <c r="E64" s="11"/>
      <c r="F64" s="11"/>
      <c r="G64" s="1"/>
      <c r="H64" s="1"/>
      <c r="I64" s="1"/>
      <c r="J64" s="1"/>
      <c r="M64" s="10"/>
    </row>
    <row r="65" spans="1:26">
      <c r="A65" s="131" t="s">
        <v>75</v>
      </c>
      <c r="B65" s="132"/>
      <c r="C65" s="132"/>
      <c r="D65" s="132"/>
      <c r="F65" s="1"/>
      <c r="G65" s="1"/>
      <c r="H65" s="1"/>
      <c r="I65" s="1"/>
      <c r="J65" s="1"/>
      <c r="Y65" s="35"/>
      <c r="Z65" s="1"/>
    </row>
    <row r="66" spans="1:26">
      <c r="A66" s="9" t="s">
        <v>76</v>
      </c>
      <c r="B66" s="9" t="s">
        <v>77</v>
      </c>
      <c r="C66" s="9" t="s">
        <v>20</v>
      </c>
      <c r="D66" s="44" t="s">
        <v>42</v>
      </c>
      <c r="E66" s="10"/>
      <c r="F66" s="1"/>
      <c r="G66" s="1"/>
      <c r="H66" s="1"/>
      <c r="I66" s="1"/>
      <c r="J66" s="11"/>
      <c r="K66" s="11"/>
      <c r="L66" s="10"/>
      <c r="Y66" s="35"/>
      <c r="Z66" s="1"/>
    </row>
    <row r="67" spans="1:26">
      <c r="A67" s="3" t="s">
        <v>13</v>
      </c>
      <c r="B67" s="3">
        <f>C3</f>
        <v>0</v>
      </c>
      <c r="C67" s="3"/>
      <c r="D67" s="45">
        <f>B67*C67</f>
        <v>0</v>
      </c>
      <c r="E67" s="10" t="s">
        <v>37</v>
      </c>
      <c r="F67" s="1"/>
      <c r="G67" s="1"/>
      <c r="H67" s="1"/>
      <c r="I67" s="1"/>
      <c r="J67" s="11"/>
      <c r="K67" s="11"/>
      <c r="L67" s="10"/>
      <c r="Y67" s="35"/>
      <c r="Z67" s="1"/>
    </row>
    <row r="68" spans="1:26">
      <c r="A68" s="3" t="s">
        <v>14</v>
      </c>
      <c r="B68" s="3">
        <f>C4</f>
        <v>0</v>
      </c>
      <c r="C68" s="3"/>
      <c r="D68" s="45">
        <f>B68*C68</f>
        <v>0</v>
      </c>
      <c r="E68" s="10"/>
      <c r="F68" s="1"/>
      <c r="G68" s="1"/>
      <c r="H68" s="1"/>
      <c r="I68" s="1"/>
      <c r="J68" s="11"/>
      <c r="K68" s="11"/>
      <c r="L68" s="10"/>
      <c r="Y68" s="35"/>
      <c r="Z68" s="1"/>
    </row>
    <row r="69" spans="1:26">
      <c r="A69" s="46" t="s">
        <v>78</v>
      </c>
      <c r="B69" s="46"/>
      <c r="C69" s="47"/>
      <c r="D69" s="48">
        <f>D67+D68</f>
        <v>0</v>
      </c>
      <c r="E69" s="11"/>
      <c r="F69" s="10"/>
      <c r="G69" s="36"/>
      <c r="H69" s="1"/>
      <c r="I69" s="1"/>
      <c r="J69" s="11"/>
      <c r="K69" s="11"/>
      <c r="L69" s="11"/>
      <c r="M69" s="10"/>
    </row>
    <row r="70" spans="1:26">
      <c r="C70" s="21"/>
      <c r="D70" s="49"/>
      <c r="E70" s="11"/>
      <c r="F70" s="10"/>
      <c r="G70" s="1"/>
      <c r="H70" s="1"/>
      <c r="I70" s="1"/>
      <c r="J70" s="11"/>
      <c r="K70" s="11"/>
      <c r="L70" s="11"/>
      <c r="M70" s="10"/>
    </row>
    <row r="71" spans="1:26">
      <c r="A71" s="133" t="s">
        <v>79</v>
      </c>
      <c r="B71" s="132"/>
      <c r="C71" s="132"/>
      <c r="D71" s="134"/>
      <c r="E71" s="11"/>
      <c r="F71" s="10"/>
      <c r="G71" s="1"/>
      <c r="H71" s="1"/>
      <c r="I71" s="1"/>
      <c r="J71" s="11"/>
      <c r="K71" s="11"/>
      <c r="L71" s="11"/>
      <c r="M71" s="10"/>
    </row>
    <row r="72" spans="1:26">
      <c r="A72" s="5" t="s">
        <v>80</v>
      </c>
      <c r="B72" s="19"/>
      <c r="C72" s="50"/>
      <c r="D72" s="51">
        <f>D52</f>
        <v>0</v>
      </c>
      <c r="E72" s="11"/>
      <c r="F72" s="10"/>
      <c r="G72" s="1"/>
      <c r="H72" s="1"/>
      <c r="I72" s="36"/>
      <c r="J72" s="11"/>
      <c r="K72" s="11"/>
      <c r="L72" s="11"/>
      <c r="M72" s="10"/>
    </row>
    <row r="73" spans="1:26">
      <c r="A73" s="5" t="s">
        <v>81</v>
      </c>
      <c r="C73" s="50"/>
      <c r="D73" s="51">
        <f>D69</f>
        <v>0</v>
      </c>
      <c r="E73" s="11"/>
      <c r="F73" s="10"/>
      <c r="G73" s="1"/>
      <c r="H73" s="1"/>
      <c r="I73" s="1"/>
      <c r="J73" s="11"/>
      <c r="K73" s="11"/>
      <c r="L73" s="11"/>
      <c r="M73" s="10"/>
    </row>
    <row r="74" spans="1:26">
      <c r="A74" s="52" t="s">
        <v>82</v>
      </c>
      <c r="B74" s="53"/>
      <c r="C74" s="54"/>
      <c r="D74" s="97">
        <f>D72+D73</f>
        <v>0</v>
      </c>
      <c r="E74" s="11" t="s">
        <v>83</v>
      </c>
      <c r="F74" s="10"/>
      <c r="G74" s="1"/>
      <c r="H74" s="1"/>
      <c r="I74" s="1"/>
      <c r="J74" s="11"/>
      <c r="K74" s="11"/>
      <c r="L74" s="11"/>
      <c r="M74" s="10"/>
    </row>
    <row r="75" spans="1:26">
      <c r="A75" s="137" t="s">
        <v>84</v>
      </c>
      <c r="B75" s="132"/>
      <c r="C75" s="132"/>
      <c r="D75" s="132"/>
      <c r="E75" s="11"/>
      <c r="F75" s="10"/>
      <c r="G75" s="1"/>
      <c r="H75" s="1"/>
      <c r="I75" s="1"/>
      <c r="J75" s="11"/>
      <c r="K75" s="11"/>
      <c r="L75" s="11"/>
      <c r="M75" s="10"/>
    </row>
    <row r="76" spans="1:26">
      <c r="A76" s="1" t="s">
        <v>85</v>
      </c>
      <c r="C76" s="51"/>
      <c r="D76" s="51"/>
      <c r="E76" s="98"/>
      <c r="F76" s="55"/>
      <c r="G76" s="55"/>
      <c r="H76" s="55"/>
      <c r="I76" s="5"/>
      <c r="J76" s="11"/>
      <c r="K76" s="11"/>
      <c r="L76" s="11"/>
    </row>
    <row r="77" spans="1:26">
      <c r="A77" s="1" t="s">
        <v>86</v>
      </c>
      <c r="C77" s="42"/>
      <c r="D77" s="51">
        <f>K4</f>
        <v>-37.125</v>
      </c>
      <c r="E77" s="42"/>
      <c r="F77" s="11"/>
      <c r="G77" s="11"/>
      <c r="H77" s="41"/>
      <c r="I77" s="11"/>
      <c r="J77" s="5"/>
      <c r="K77" s="5"/>
      <c r="L77" s="5"/>
    </row>
    <row r="78" spans="1:26">
      <c r="A78" s="1" t="s">
        <v>87</v>
      </c>
      <c r="C78" s="43"/>
      <c r="D78" s="41">
        <f>D76+D77</f>
        <v>-37.125</v>
      </c>
      <c r="E78" s="43"/>
      <c r="F78" s="11"/>
      <c r="G78" s="11"/>
      <c r="H78" s="11"/>
      <c r="I78" s="11"/>
      <c r="J78" s="5"/>
      <c r="K78" s="5"/>
      <c r="L78" s="5"/>
    </row>
    <row r="79" spans="1:26">
      <c r="A79" s="104" t="s">
        <v>88</v>
      </c>
      <c r="B79" s="55"/>
      <c r="C79" s="55"/>
      <c r="D79" s="41">
        <f>D74-D78</f>
        <v>37.125</v>
      </c>
      <c r="E79" s="20" t="s">
        <v>89</v>
      </c>
      <c r="F79" s="11"/>
      <c r="G79" s="41"/>
      <c r="H79" s="41"/>
      <c r="I79" s="11"/>
      <c r="J79" s="5"/>
      <c r="K79" s="5"/>
      <c r="L79" s="5"/>
    </row>
    <row r="80" spans="1:26">
      <c r="A80" s="99" t="s">
        <v>90</v>
      </c>
      <c r="B80" s="99"/>
      <c r="C80" s="99"/>
      <c r="D80" s="103">
        <f>D78+D79</f>
        <v>0</v>
      </c>
      <c r="E80" s="20"/>
      <c r="F80" s="11"/>
      <c r="G80" s="41"/>
      <c r="H80" s="11"/>
      <c r="I80" s="11"/>
      <c r="J80" s="5"/>
      <c r="K80" s="5"/>
      <c r="L80" s="5"/>
    </row>
    <row r="81" spans="1:12">
      <c r="A81" s="73" t="s">
        <v>91</v>
      </c>
      <c r="B81" s="105"/>
      <c r="C81" s="105"/>
      <c r="D81" s="106"/>
      <c r="E81" s="55"/>
      <c r="F81" s="55"/>
      <c r="G81" s="55"/>
      <c r="H81" s="55"/>
      <c r="I81" s="5"/>
      <c r="J81" s="5"/>
      <c r="K81" s="5"/>
      <c r="L81" s="5"/>
    </row>
    <row r="82" spans="1:12">
      <c r="A82" s="3" t="s">
        <v>92</v>
      </c>
      <c r="B82" s="3"/>
      <c r="C82" s="107"/>
      <c r="D82" s="61">
        <f>D49</f>
        <v>0</v>
      </c>
      <c r="E82" s="42"/>
      <c r="F82" s="55"/>
      <c r="G82" s="55"/>
      <c r="H82" s="55"/>
      <c r="I82" s="5"/>
      <c r="J82" s="5"/>
      <c r="K82" s="5"/>
      <c r="L82" s="5"/>
    </row>
    <row r="83" spans="1:12">
      <c r="A83" s="3" t="s">
        <v>93</v>
      </c>
      <c r="B83" s="3"/>
      <c r="C83" s="108"/>
      <c r="D83" s="61">
        <f>D50</f>
        <v>0</v>
      </c>
      <c r="E83" s="42"/>
      <c r="F83" s="55"/>
      <c r="G83" s="55"/>
      <c r="H83" s="55"/>
      <c r="I83" s="5"/>
      <c r="J83" s="5"/>
      <c r="K83" s="5"/>
      <c r="L83" s="5"/>
    </row>
    <row r="84" spans="1:12">
      <c r="A84" s="3" t="s">
        <v>94</v>
      </c>
      <c r="B84" s="3"/>
      <c r="C84" s="108"/>
      <c r="D84" s="61">
        <f>D82+D83</f>
        <v>0</v>
      </c>
      <c r="E84" s="42" t="s">
        <v>95</v>
      </c>
      <c r="F84" s="55"/>
      <c r="G84" s="55"/>
      <c r="H84" s="55"/>
      <c r="I84" s="5"/>
      <c r="J84" s="5"/>
      <c r="K84" s="5"/>
      <c r="L84" s="5"/>
    </row>
    <row r="85" spans="1:12">
      <c r="A85" s="3" t="s">
        <v>96</v>
      </c>
      <c r="B85" s="3"/>
      <c r="C85" s="107"/>
      <c r="D85" s="61">
        <f>D52</f>
        <v>0</v>
      </c>
      <c r="E85" s="42"/>
      <c r="F85" s="55"/>
      <c r="G85" s="55"/>
      <c r="H85" s="55"/>
      <c r="I85" s="5"/>
      <c r="J85" s="5"/>
      <c r="K85" s="5"/>
      <c r="L85" s="5"/>
    </row>
    <row r="86" spans="1:12">
      <c r="A86" s="3" t="s">
        <v>97</v>
      </c>
      <c r="B86" s="3"/>
      <c r="C86" s="109"/>
      <c r="D86" s="61">
        <f>D85-D84</f>
        <v>0</v>
      </c>
      <c r="E86" s="11" t="s">
        <v>69</v>
      </c>
      <c r="F86" s="55"/>
      <c r="G86" s="55"/>
      <c r="H86" s="55"/>
      <c r="I86" s="5"/>
      <c r="J86" s="5"/>
      <c r="K86" s="5"/>
      <c r="L86" s="5"/>
    </row>
    <row r="87" spans="1:12" ht="18.75" customHeight="1">
      <c r="A87" s="9" t="s">
        <v>98</v>
      </c>
      <c r="B87" s="3"/>
      <c r="C87" s="108"/>
      <c r="D87" s="107"/>
      <c r="E87" s="124" t="s">
        <v>99</v>
      </c>
      <c r="F87" s="113">
        <f>F54</f>
        <v>0</v>
      </c>
      <c r="G87" s="55"/>
      <c r="H87" s="55"/>
      <c r="I87" s="5"/>
      <c r="J87" s="5"/>
      <c r="K87" s="5"/>
      <c r="L87" s="5"/>
    </row>
    <row r="88" spans="1:12" ht="21" customHeight="1">
      <c r="A88" s="3"/>
      <c r="B88" s="3"/>
      <c r="C88" s="3"/>
      <c r="D88" s="107"/>
      <c r="E88" s="123" t="s">
        <v>72</v>
      </c>
      <c r="F88" s="113"/>
      <c r="G88" s="55"/>
      <c r="H88" s="55"/>
      <c r="I88" s="5"/>
      <c r="J88" s="5"/>
      <c r="K88" s="5"/>
      <c r="L88" s="5"/>
    </row>
    <row r="89" spans="1:12" ht="18.75" customHeight="1">
      <c r="A89" s="3"/>
      <c r="B89" s="3"/>
      <c r="C89" s="3"/>
      <c r="D89" s="122"/>
      <c r="E89" s="18" t="s">
        <v>100</v>
      </c>
      <c r="F89" s="121">
        <f>F87-F88</f>
        <v>0</v>
      </c>
      <c r="G89" s="55"/>
      <c r="H89" s="55"/>
      <c r="I89" s="5"/>
      <c r="J89" s="5"/>
      <c r="K89" s="5"/>
      <c r="L89" s="5"/>
    </row>
    <row r="90" spans="1:12" ht="18.75" customHeight="1">
      <c r="A90" s="3"/>
      <c r="B90" s="3"/>
      <c r="C90" s="3"/>
      <c r="D90" s="107"/>
      <c r="E90" s="117"/>
      <c r="F90" s="118"/>
      <c r="G90" s="55"/>
      <c r="H90" s="55"/>
      <c r="I90" s="5"/>
      <c r="J90" s="5"/>
      <c r="K90" s="5"/>
      <c r="L90" s="5"/>
    </row>
    <row r="91" spans="1:12">
      <c r="A91" s="73" t="s">
        <v>101</v>
      </c>
      <c r="B91" s="9"/>
      <c r="C91" s="15"/>
      <c r="D91" s="110">
        <f>SUM(D88:D90)</f>
        <v>0</v>
      </c>
      <c r="E91" s="42"/>
      <c r="F91" s="55"/>
      <c r="G91" s="55"/>
      <c r="H91" s="55"/>
      <c r="I91" s="5"/>
      <c r="J91" s="5"/>
      <c r="K91" s="5"/>
      <c r="L91" s="5"/>
    </row>
    <row r="92" spans="1:12">
      <c r="A92" s="73" t="s">
        <v>102</v>
      </c>
      <c r="B92" s="3"/>
      <c r="C92" s="15"/>
      <c r="D92" s="110"/>
      <c r="E92" s="42"/>
      <c r="F92" s="55"/>
      <c r="G92" s="55"/>
      <c r="H92" s="55"/>
      <c r="I92" s="5"/>
      <c r="J92" s="5"/>
      <c r="K92" s="5"/>
      <c r="L92" s="5"/>
    </row>
    <row r="93" spans="1:12">
      <c r="A93" s="9"/>
      <c r="B93" s="3" t="s">
        <v>103</v>
      </c>
      <c r="C93" s="15"/>
      <c r="D93" s="110" t="s">
        <v>104</v>
      </c>
      <c r="E93" s="42"/>
      <c r="F93" s="55"/>
      <c r="G93" s="55"/>
      <c r="H93" s="55"/>
      <c r="I93" s="5"/>
      <c r="J93" s="5"/>
      <c r="K93" s="5"/>
      <c r="L93" s="5"/>
    </row>
    <row r="94" spans="1:12">
      <c r="A94" s="9"/>
      <c r="B94" s="3" t="s">
        <v>103</v>
      </c>
      <c r="C94" s="15"/>
      <c r="D94" s="110" t="s">
        <v>104</v>
      </c>
      <c r="E94" s="42"/>
      <c r="F94" s="55"/>
      <c r="G94" s="55"/>
      <c r="H94" s="55"/>
      <c r="I94" s="5"/>
      <c r="J94" s="5"/>
      <c r="K94" s="5"/>
      <c r="L94" s="5"/>
    </row>
    <row r="95" spans="1:12">
      <c r="A95" s="15" t="s">
        <v>105</v>
      </c>
      <c r="B95" s="15"/>
      <c r="C95" s="111"/>
      <c r="D95" s="110">
        <f>D86+D88</f>
        <v>0</v>
      </c>
      <c r="E95" s="11" t="s">
        <v>69</v>
      </c>
      <c r="F95" s="55"/>
      <c r="G95" s="55"/>
      <c r="H95" s="55"/>
      <c r="I95" s="5"/>
      <c r="J95" s="5"/>
      <c r="K95" s="5"/>
      <c r="L95" s="5"/>
    </row>
    <row r="96" spans="1:12">
      <c r="A96" s="9" t="s">
        <v>106</v>
      </c>
      <c r="B96" s="9"/>
      <c r="C96" s="111"/>
      <c r="D96" s="61">
        <f>D74</f>
        <v>0</v>
      </c>
      <c r="E96" s="42"/>
      <c r="F96" s="55"/>
      <c r="G96" s="55"/>
      <c r="H96" s="55"/>
      <c r="I96" s="5"/>
      <c r="J96" s="5"/>
      <c r="K96" s="5"/>
      <c r="L96" s="5"/>
    </row>
    <row r="97" spans="1:26" ht="18.75" customHeight="1">
      <c r="A97" s="9" t="s">
        <v>107</v>
      </c>
      <c r="B97" s="3"/>
      <c r="C97" s="112"/>
      <c r="D97" s="61"/>
      <c r="E97" s="124" t="s">
        <v>99</v>
      </c>
      <c r="F97" s="113">
        <f>F87</f>
        <v>0</v>
      </c>
      <c r="G97" s="55"/>
      <c r="H97" s="55"/>
      <c r="I97" s="5"/>
      <c r="J97" s="5"/>
      <c r="K97" s="5"/>
      <c r="L97" s="5"/>
    </row>
    <row r="98" spans="1:26" ht="21" customHeight="1">
      <c r="A98" s="3" t="s">
        <v>108</v>
      </c>
      <c r="B98" s="3"/>
      <c r="C98" s="108"/>
      <c r="D98" s="61">
        <f>K4</f>
        <v>-37.125</v>
      </c>
      <c r="E98" s="123" t="s">
        <v>72</v>
      </c>
      <c r="F98" s="113"/>
      <c r="G98" s="55"/>
      <c r="H98" s="55"/>
      <c r="I98" s="5"/>
      <c r="J98" s="5"/>
      <c r="K98" s="5"/>
      <c r="L98" s="5"/>
    </row>
    <row r="99" spans="1:26" ht="18.75" customHeight="1">
      <c r="A99" s="3" t="s">
        <v>109</v>
      </c>
      <c r="B99" s="3"/>
      <c r="C99" s="108"/>
      <c r="D99" s="61">
        <f>D97+D98</f>
        <v>-37.125</v>
      </c>
      <c r="E99" s="18" t="s">
        <v>100</v>
      </c>
      <c r="F99" s="121">
        <f>F97-F98</f>
        <v>0</v>
      </c>
      <c r="G99" s="55"/>
      <c r="H99" s="55"/>
      <c r="I99" s="5"/>
      <c r="J99" s="5"/>
      <c r="K99" s="5"/>
      <c r="L99" s="5"/>
    </row>
    <row r="100" spans="1:26">
      <c r="A100" s="9" t="s">
        <v>110</v>
      </c>
      <c r="B100" s="3"/>
      <c r="C100" s="108"/>
      <c r="D100" s="61">
        <f>D80</f>
        <v>0</v>
      </c>
      <c r="E100" s="43"/>
      <c r="F100" s="55"/>
      <c r="G100" s="55"/>
      <c r="H100" s="55"/>
      <c r="I100" s="5"/>
      <c r="J100" s="5"/>
      <c r="K100" s="5"/>
      <c r="L100" s="5"/>
    </row>
    <row r="101" spans="1:26">
      <c r="A101" s="3" t="s">
        <v>111</v>
      </c>
      <c r="B101" s="3"/>
      <c r="C101" s="108"/>
      <c r="D101" s="107">
        <f>D96-D99</f>
        <v>37.125</v>
      </c>
      <c r="E101" s="43" t="s">
        <v>112</v>
      </c>
      <c r="F101" s="55"/>
      <c r="G101" s="55"/>
      <c r="H101" s="55"/>
      <c r="I101" s="5"/>
      <c r="J101" s="5"/>
      <c r="K101" s="5"/>
      <c r="L101" s="5"/>
    </row>
    <row r="102" spans="1:26">
      <c r="A102" s="15" t="s">
        <v>113</v>
      </c>
      <c r="B102" s="13"/>
      <c r="C102" s="109"/>
      <c r="D102" s="61">
        <f>D98-300-1666.66-666.66-666.66</f>
        <v>-3337.105</v>
      </c>
      <c r="E102" s="43"/>
      <c r="F102" s="55"/>
      <c r="G102" s="55"/>
      <c r="H102" s="55"/>
      <c r="I102" s="5"/>
      <c r="J102" s="5"/>
      <c r="K102" s="5"/>
      <c r="L102" s="5"/>
    </row>
    <row r="103" spans="1:26">
      <c r="A103" s="9" t="s">
        <v>114</v>
      </c>
      <c r="B103" s="9" t="s">
        <v>115</v>
      </c>
      <c r="C103" s="9"/>
      <c r="D103" s="112"/>
      <c r="F103" s="55"/>
      <c r="G103" s="55"/>
      <c r="H103" s="55"/>
      <c r="I103" s="5"/>
      <c r="J103" s="5"/>
      <c r="K103" s="5"/>
      <c r="L103" s="5"/>
    </row>
    <row r="104" spans="1:26">
      <c r="A104" s="9" t="s">
        <v>116</v>
      </c>
      <c r="B104" s="9" t="s">
        <v>115</v>
      </c>
      <c r="C104" s="9"/>
      <c r="D104" s="112"/>
      <c r="F104" s="55"/>
      <c r="G104" s="55"/>
      <c r="H104" s="55"/>
      <c r="I104" s="5"/>
      <c r="J104" s="5"/>
      <c r="K104" s="5"/>
      <c r="L104" s="5"/>
    </row>
    <row r="105" spans="1:26">
      <c r="A105" s="9" t="s">
        <v>117</v>
      </c>
      <c r="B105" s="9" t="s">
        <v>115</v>
      </c>
      <c r="C105" s="9"/>
      <c r="D105" s="112"/>
      <c r="F105" s="55"/>
      <c r="G105" s="55"/>
      <c r="H105" s="55"/>
      <c r="I105" s="5"/>
      <c r="J105" s="5"/>
      <c r="K105" s="5"/>
      <c r="L105" s="5"/>
    </row>
    <row r="106" spans="1:26">
      <c r="A106" s="74" t="s">
        <v>118</v>
      </c>
      <c r="B106" s="74"/>
      <c r="C106" s="74"/>
      <c r="D106" s="95"/>
      <c r="F106" s="55"/>
      <c r="G106" s="55"/>
      <c r="H106" s="55"/>
      <c r="I106" s="5"/>
      <c r="J106" s="5"/>
      <c r="K106" s="5"/>
      <c r="L106" s="5"/>
    </row>
    <row r="107" spans="1:26">
      <c r="A107" s="29" t="s">
        <v>119</v>
      </c>
      <c r="B107" s="69"/>
      <c r="C107" s="69"/>
      <c r="D107" s="1"/>
      <c r="F107" s="55"/>
      <c r="G107" s="55"/>
      <c r="H107" s="55"/>
      <c r="I107" s="5"/>
      <c r="J107" s="5"/>
      <c r="K107" s="5"/>
      <c r="L107" s="5"/>
    </row>
    <row r="108" spans="1:26" s="3" customFormat="1" ht="60" customHeight="1">
      <c r="A108" s="29" t="s">
        <v>120</v>
      </c>
      <c r="B108" s="29" t="s">
        <v>121</v>
      </c>
      <c r="C108" s="64" t="s">
        <v>122</v>
      </c>
      <c r="D108" s="65" t="s">
        <v>123</v>
      </c>
      <c r="E108" s="29" t="s">
        <v>124</v>
      </c>
      <c r="F108" s="29" t="s">
        <v>125</v>
      </c>
      <c r="G108" s="29" t="s">
        <v>126</v>
      </c>
      <c r="H108" s="66" t="s">
        <v>127</v>
      </c>
      <c r="I108" s="66" t="s">
        <v>128</v>
      </c>
      <c r="J108" s="29" t="s">
        <v>129</v>
      </c>
      <c r="K108" s="67" t="s">
        <v>130</v>
      </c>
      <c r="L108" s="29" t="s">
        <v>131</v>
      </c>
      <c r="M108" s="29" t="s">
        <v>132</v>
      </c>
      <c r="N108" s="66" t="s">
        <v>133</v>
      </c>
      <c r="O108" s="66" t="s">
        <v>134</v>
      </c>
      <c r="P108" s="29" t="s">
        <v>135</v>
      </c>
      <c r="Q108" s="29" t="s">
        <v>136</v>
      </c>
      <c r="R108" s="29" t="s">
        <v>137</v>
      </c>
      <c r="S108" s="29" t="s">
        <v>138</v>
      </c>
      <c r="T108" s="29" t="s">
        <v>139</v>
      </c>
      <c r="U108" s="29" t="s">
        <v>140</v>
      </c>
      <c r="V108" s="29" t="s">
        <v>141</v>
      </c>
      <c r="W108" s="29" t="s">
        <v>142</v>
      </c>
      <c r="X108" s="29" t="s">
        <v>143</v>
      </c>
      <c r="Y108" s="29" t="s">
        <v>144</v>
      </c>
      <c r="Z108" s="68" t="s">
        <v>145</v>
      </c>
    </row>
    <row r="109" spans="1:26">
      <c r="A109" s="56"/>
      <c r="B109" s="9"/>
      <c r="C109" s="9"/>
      <c r="D109" s="9">
        <f>B109-10</f>
        <v>-10</v>
      </c>
      <c r="E109" s="9">
        <f>C109-10</f>
        <v>-10</v>
      </c>
      <c r="F109" s="57">
        <f t="shared" ref="F109:F127" si="1">D109*117.7</f>
        <v>-1177</v>
      </c>
      <c r="G109" s="57">
        <f t="shared" ref="G109:G127" si="2">E109*105.36</f>
        <v>-1053.5999999999999</v>
      </c>
      <c r="H109" s="57"/>
      <c r="I109" s="9"/>
      <c r="J109" s="9"/>
      <c r="K109" s="15"/>
      <c r="L109" s="9"/>
      <c r="M109" s="12"/>
      <c r="N109" s="9"/>
      <c r="O109" s="9"/>
      <c r="P109" s="9"/>
      <c r="Q109" s="9"/>
      <c r="R109" s="12"/>
      <c r="S109" s="9">
        <f t="shared" ref="S109:S127" si="3">L109+M109+N109+O109+P109+Q109+R109</f>
        <v>0</v>
      </c>
      <c r="T109" s="9"/>
      <c r="U109" s="9"/>
      <c r="V109" s="9">
        <f t="shared" ref="V109:V127" si="4">D109*4.14</f>
        <v>-41.4</v>
      </c>
      <c r="W109" s="9">
        <f t="shared" ref="W109:W127" si="5">E109*2.61</f>
        <v>-26.099999999999998</v>
      </c>
      <c r="X109" s="9">
        <f t="shared" ref="X109:X127" si="6">V109+W109</f>
        <v>-67.5</v>
      </c>
      <c r="Y109" s="9">
        <f t="shared" ref="Y109:Y127" si="7">X109</f>
        <v>-67.5</v>
      </c>
      <c r="Z109" s="2">
        <f t="shared" ref="Z109:Z127" si="8">Y109+J109</f>
        <v>-67.5</v>
      </c>
    </row>
    <row r="110" spans="1:26">
      <c r="A110" s="56"/>
      <c r="B110" s="9"/>
      <c r="C110" s="9"/>
      <c r="D110" s="9">
        <f>B110-10.5</f>
        <v>-10.5</v>
      </c>
      <c r="E110" s="9">
        <f>C110-10.5</f>
        <v>-10.5</v>
      </c>
      <c r="F110" s="57">
        <f t="shared" si="1"/>
        <v>-1235.8500000000001</v>
      </c>
      <c r="G110" s="57">
        <f t="shared" si="2"/>
        <v>-1106.28</v>
      </c>
      <c r="H110" s="57"/>
      <c r="I110" s="9"/>
      <c r="J110" s="9"/>
      <c r="K110" s="15"/>
      <c r="L110" s="9"/>
      <c r="M110" s="12"/>
      <c r="N110" s="9"/>
      <c r="O110" s="9"/>
      <c r="P110" s="9"/>
      <c r="Q110" s="9"/>
      <c r="R110" s="12"/>
      <c r="S110" s="9">
        <f t="shared" si="3"/>
        <v>0</v>
      </c>
      <c r="T110" s="9"/>
      <c r="U110" s="9"/>
      <c r="V110" s="9">
        <f t="shared" si="4"/>
        <v>-43.47</v>
      </c>
      <c r="W110" s="9">
        <f t="shared" si="5"/>
        <v>-27.404999999999998</v>
      </c>
      <c r="X110" s="9">
        <f t="shared" si="6"/>
        <v>-70.875</v>
      </c>
      <c r="Y110" s="9">
        <f t="shared" si="7"/>
        <v>-70.875</v>
      </c>
      <c r="Z110" s="2">
        <f t="shared" si="8"/>
        <v>-70.875</v>
      </c>
    </row>
    <row r="111" spans="1:26">
      <c r="A111" s="56"/>
      <c r="B111" s="9"/>
      <c r="C111" s="9"/>
      <c r="D111" s="9">
        <f>B111-10</f>
        <v>-10</v>
      </c>
      <c r="E111" s="9">
        <f>C111-10</f>
        <v>-10</v>
      </c>
      <c r="F111" s="57">
        <f t="shared" si="1"/>
        <v>-1177</v>
      </c>
      <c r="G111" s="57">
        <f t="shared" si="2"/>
        <v>-1053.5999999999999</v>
      </c>
      <c r="H111" s="57"/>
      <c r="I111" s="9"/>
      <c r="J111" s="9"/>
      <c r="K111" s="15"/>
      <c r="L111" s="9"/>
      <c r="M111" s="12"/>
      <c r="N111" s="9"/>
      <c r="O111" s="9"/>
      <c r="P111" s="9"/>
      <c r="Q111" s="9"/>
      <c r="R111" s="12"/>
      <c r="S111" s="9">
        <f t="shared" si="3"/>
        <v>0</v>
      </c>
      <c r="T111" s="9"/>
      <c r="U111" s="9"/>
      <c r="V111" s="9">
        <f t="shared" si="4"/>
        <v>-41.4</v>
      </c>
      <c r="W111" s="9">
        <f t="shared" si="5"/>
        <v>-26.099999999999998</v>
      </c>
      <c r="X111" s="9">
        <f t="shared" si="6"/>
        <v>-67.5</v>
      </c>
      <c r="Y111" s="9">
        <f t="shared" si="7"/>
        <v>-67.5</v>
      </c>
      <c r="Z111" s="2">
        <f t="shared" si="8"/>
        <v>-67.5</v>
      </c>
    </row>
    <row r="112" spans="1:26">
      <c r="A112" s="56"/>
      <c r="B112" s="9"/>
      <c r="C112" s="9"/>
      <c r="D112" s="9">
        <f>B112-10.5</f>
        <v>-10.5</v>
      </c>
      <c r="E112" s="9">
        <f>C112-10.5</f>
        <v>-10.5</v>
      </c>
      <c r="F112" s="57">
        <f t="shared" si="1"/>
        <v>-1235.8500000000001</v>
      </c>
      <c r="G112" s="57">
        <f t="shared" si="2"/>
        <v>-1106.28</v>
      </c>
      <c r="H112" s="57"/>
      <c r="I112" s="9"/>
      <c r="J112" s="9"/>
      <c r="K112" s="15"/>
      <c r="L112" s="9"/>
      <c r="M112" s="12"/>
      <c r="N112" s="9"/>
      <c r="O112" s="9"/>
      <c r="P112" s="9"/>
      <c r="Q112" s="9"/>
      <c r="R112" s="12"/>
      <c r="S112" s="9">
        <f t="shared" si="3"/>
        <v>0</v>
      </c>
      <c r="T112" s="9"/>
      <c r="U112" s="9"/>
      <c r="V112" s="9">
        <f t="shared" si="4"/>
        <v>-43.47</v>
      </c>
      <c r="W112" s="9">
        <f t="shared" si="5"/>
        <v>-27.404999999999998</v>
      </c>
      <c r="X112" s="9">
        <f t="shared" si="6"/>
        <v>-70.875</v>
      </c>
      <c r="Y112" s="9">
        <f t="shared" si="7"/>
        <v>-70.875</v>
      </c>
      <c r="Z112" s="2">
        <f t="shared" si="8"/>
        <v>-70.875</v>
      </c>
    </row>
    <row r="113" spans="1:26">
      <c r="A113" s="56"/>
      <c r="B113" s="9"/>
      <c r="C113" s="9"/>
      <c r="D113" s="9">
        <f>B113-10</f>
        <v>-10</v>
      </c>
      <c r="E113" s="9">
        <f>C113-10</f>
        <v>-10</v>
      </c>
      <c r="F113" s="57">
        <f t="shared" si="1"/>
        <v>-1177</v>
      </c>
      <c r="G113" s="57">
        <f t="shared" si="2"/>
        <v>-1053.5999999999999</v>
      </c>
      <c r="H113" s="57"/>
      <c r="I113" s="9"/>
      <c r="J113" s="9"/>
      <c r="K113" s="15"/>
      <c r="L113" s="9"/>
      <c r="M113" s="12"/>
      <c r="N113" s="9"/>
      <c r="O113" s="9"/>
      <c r="P113" s="9"/>
      <c r="Q113" s="9"/>
      <c r="R113" s="12"/>
      <c r="S113" s="9">
        <f t="shared" si="3"/>
        <v>0</v>
      </c>
      <c r="T113" s="9"/>
      <c r="U113" s="9"/>
      <c r="V113" s="9">
        <f t="shared" si="4"/>
        <v>-41.4</v>
      </c>
      <c r="W113" s="9">
        <f t="shared" si="5"/>
        <v>-26.099999999999998</v>
      </c>
      <c r="X113" s="9">
        <f t="shared" si="6"/>
        <v>-67.5</v>
      </c>
      <c r="Y113" s="9">
        <f t="shared" si="7"/>
        <v>-67.5</v>
      </c>
      <c r="Z113" s="2">
        <f t="shared" si="8"/>
        <v>-67.5</v>
      </c>
    </row>
    <row r="114" spans="1:26">
      <c r="A114" s="56"/>
      <c r="B114" s="9"/>
      <c r="C114" s="9"/>
      <c r="D114" s="9">
        <f>B114-10.5</f>
        <v>-10.5</v>
      </c>
      <c r="E114" s="9">
        <f>C114-10.5</f>
        <v>-10.5</v>
      </c>
      <c r="F114" s="57">
        <f t="shared" si="1"/>
        <v>-1235.8500000000001</v>
      </c>
      <c r="G114" s="57">
        <f t="shared" si="2"/>
        <v>-1106.28</v>
      </c>
      <c r="H114" s="57"/>
      <c r="I114" s="9"/>
      <c r="J114" s="9"/>
      <c r="K114" s="15"/>
      <c r="L114" s="9"/>
      <c r="M114" s="12"/>
      <c r="N114" s="9"/>
      <c r="O114" s="9"/>
      <c r="P114" s="9"/>
      <c r="Q114" s="9"/>
      <c r="R114" s="12"/>
      <c r="S114" s="9">
        <f t="shared" si="3"/>
        <v>0</v>
      </c>
      <c r="T114" s="9"/>
      <c r="U114" s="9"/>
      <c r="V114" s="9">
        <f t="shared" si="4"/>
        <v>-43.47</v>
      </c>
      <c r="W114" s="9">
        <f t="shared" si="5"/>
        <v>-27.404999999999998</v>
      </c>
      <c r="X114" s="9">
        <f t="shared" si="6"/>
        <v>-70.875</v>
      </c>
      <c r="Y114" s="9">
        <f t="shared" si="7"/>
        <v>-70.875</v>
      </c>
      <c r="Z114" s="2">
        <f t="shared" si="8"/>
        <v>-70.875</v>
      </c>
    </row>
    <row r="115" spans="1:26">
      <c r="A115" s="56"/>
      <c r="B115" s="9"/>
      <c r="C115" s="9"/>
      <c r="D115" s="9">
        <f>B115-10</f>
        <v>-10</v>
      </c>
      <c r="E115" s="9">
        <f>C115-10</f>
        <v>-10</v>
      </c>
      <c r="F115" s="57">
        <f t="shared" si="1"/>
        <v>-1177</v>
      </c>
      <c r="G115" s="57">
        <f t="shared" si="2"/>
        <v>-1053.5999999999999</v>
      </c>
      <c r="H115" s="57"/>
      <c r="I115" s="9"/>
      <c r="J115" s="9"/>
      <c r="K115" s="15"/>
      <c r="L115" s="9"/>
      <c r="M115" s="12"/>
      <c r="N115" s="9"/>
      <c r="O115" s="9"/>
      <c r="P115" s="9"/>
      <c r="Q115" s="9"/>
      <c r="R115" s="12"/>
      <c r="S115" s="9">
        <f t="shared" si="3"/>
        <v>0</v>
      </c>
      <c r="T115" s="9"/>
      <c r="U115" s="9"/>
      <c r="V115" s="9">
        <f t="shared" si="4"/>
        <v>-41.4</v>
      </c>
      <c r="W115" s="9">
        <f t="shared" si="5"/>
        <v>-26.099999999999998</v>
      </c>
      <c r="X115" s="9">
        <f t="shared" si="6"/>
        <v>-67.5</v>
      </c>
      <c r="Y115" s="9">
        <f t="shared" si="7"/>
        <v>-67.5</v>
      </c>
      <c r="Z115" s="2">
        <f t="shared" si="8"/>
        <v>-67.5</v>
      </c>
    </row>
    <row r="116" spans="1:26">
      <c r="A116" s="56"/>
      <c r="B116" s="9"/>
      <c r="C116" s="9"/>
      <c r="D116" s="9">
        <f>B116-10.5</f>
        <v>-10.5</v>
      </c>
      <c r="E116" s="9">
        <f>C116-10.5</f>
        <v>-10.5</v>
      </c>
      <c r="F116" s="57">
        <f t="shared" si="1"/>
        <v>-1235.8500000000001</v>
      </c>
      <c r="G116" s="57">
        <f t="shared" si="2"/>
        <v>-1106.28</v>
      </c>
      <c r="H116" s="57"/>
      <c r="I116" s="9"/>
      <c r="J116" s="9"/>
      <c r="K116" s="15"/>
      <c r="L116" s="9"/>
      <c r="M116" s="12"/>
      <c r="N116" s="9"/>
      <c r="O116" s="9"/>
      <c r="P116" s="9"/>
      <c r="Q116" s="9"/>
      <c r="R116" s="12"/>
      <c r="S116" s="9">
        <f t="shared" si="3"/>
        <v>0</v>
      </c>
      <c r="T116" s="9"/>
      <c r="U116" s="9"/>
      <c r="V116" s="9">
        <f t="shared" si="4"/>
        <v>-43.47</v>
      </c>
      <c r="W116" s="9">
        <f t="shared" si="5"/>
        <v>-27.404999999999998</v>
      </c>
      <c r="X116" s="9">
        <f t="shared" si="6"/>
        <v>-70.875</v>
      </c>
      <c r="Y116" s="9">
        <f t="shared" si="7"/>
        <v>-70.875</v>
      </c>
      <c r="Z116" s="2">
        <f t="shared" si="8"/>
        <v>-70.875</v>
      </c>
    </row>
    <row r="117" spans="1:26">
      <c r="A117" s="56"/>
      <c r="B117" s="9"/>
      <c r="C117" s="9"/>
      <c r="D117" s="9">
        <f>B117-10</f>
        <v>-10</v>
      </c>
      <c r="E117" s="9">
        <f>C117-10</f>
        <v>-10</v>
      </c>
      <c r="F117" s="57">
        <f t="shared" si="1"/>
        <v>-1177</v>
      </c>
      <c r="G117" s="57">
        <f t="shared" si="2"/>
        <v>-1053.5999999999999</v>
      </c>
      <c r="H117" s="57"/>
      <c r="I117" s="9"/>
      <c r="J117" s="9"/>
      <c r="K117" s="15"/>
      <c r="L117" s="9"/>
      <c r="M117" s="12"/>
      <c r="N117" s="9"/>
      <c r="O117" s="9"/>
      <c r="P117" s="9"/>
      <c r="Q117" s="9"/>
      <c r="R117" s="12"/>
      <c r="S117" s="9">
        <f t="shared" si="3"/>
        <v>0</v>
      </c>
      <c r="T117" s="9"/>
      <c r="U117" s="9"/>
      <c r="V117" s="9">
        <f t="shared" si="4"/>
        <v>-41.4</v>
      </c>
      <c r="W117" s="9">
        <f t="shared" si="5"/>
        <v>-26.099999999999998</v>
      </c>
      <c r="X117" s="9">
        <f t="shared" si="6"/>
        <v>-67.5</v>
      </c>
      <c r="Y117" s="9">
        <f t="shared" si="7"/>
        <v>-67.5</v>
      </c>
      <c r="Z117" s="2">
        <f t="shared" si="8"/>
        <v>-67.5</v>
      </c>
    </row>
    <row r="118" spans="1:26">
      <c r="A118" s="56"/>
      <c r="B118" s="9"/>
      <c r="C118" s="9"/>
      <c r="D118" s="9">
        <f t="shared" ref="D118:E122" si="9">B118-10.5</f>
        <v>-10.5</v>
      </c>
      <c r="E118" s="9">
        <f t="shared" si="9"/>
        <v>-10.5</v>
      </c>
      <c r="F118" s="57">
        <f t="shared" si="1"/>
        <v>-1235.8500000000001</v>
      </c>
      <c r="G118" s="57">
        <f t="shared" si="2"/>
        <v>-1106.28</v>
      </c>
      <c r="H118" s="57"/>
      <c r="I118" s="9"/>
      <c r="J118" s="9"/>
      <c r="K118" s="15"/>
      <c r="L118" s="9"/>
      <c r="M118" s="12"/>
      <c r="N118" s="9"/>
      <c r="O118" s="9"/>
      <c r="P118" s="9"/>
      <c r="Q118" s="9"/>
      <c r="R118" s="12"/>
      <c r="S118" s="9">
        <f t="shared" si="3"/>
        <v>0</v>
      </c>
      <c r="T118" s="9"/>
      <c r="U118" s="9"/>
      <c r="V118" s="9">
        <f t="shared" si="4"/>
        <v>-43.47</v>
      </c>
      <c r="W118" s="9">
        <f t="shared" si="5"/>
        <v>-27.404999999999998</v>
      </c>
      <c r="X118" s="9">
        <f t="shared" si="6"/>
        <v>-70.875</v>
      </c>
      <c r="Y118" s="9">
        <f t="shared" si="7"/>
        <v>-70.875</v>
      </c>
      <c r="Z118" s="2">
        <f t="shared" si="8"/>
        <v>-70.875</v>
      </c>
    </row>
    <row r="119" spans="1:26">
      <c r="A119" s="56"/>
      <c r="B119" s="9"/>
      <c r="C119" s="9"/>
      <c r="D119" s="9">
        <f t="shared" si="9"/>
        <v>-10.5</v>
      </c>
      <c r="E119" s="9">
        <f t="shared" si="9"/>
        <v>-10.5</v>
      </c>
      <c r="F119" s="57">
        <f t="shared" si="1"/>
        <v>-1235.8500000000001</v>
      </c>
      <c r="G119" s="57">
        <f t="shared" si="2"/>
        <v>-1106.28</v>
      </c>
      <c r="H119" s="57"/>
      <c r="I119" s="9"/>
      <c r="J119" s="9"/>
      <c r="K119" s="15"/>
      <c r="L119" s="9"/>
      <c r="M119" s="12"/>
      <c r="N119" s="9"/>
      <c r="O119" s="9"/>
      <c r="P119" s="9"/>
      <c r="Q119" s="9"/>
      <c r="R119" s="12"/>
      <c r="S119" s="9">
        <f t="shared" si="3"/>
        <v>0</v>
      </c>
      <c r="T119" s="9"/>
      <c r="U119" s="9"/>
      <c r="V119" s="9">
        <f t="shared" si="4"/>
        <v>-43.47</v>
      </c>
      <c r="W119" s="9">
        <f t="shared" si="5"/>
        <v>-27.404999999999998</v>
      </c>
      <c r="X119" s="9">
        <f t="shared" si="6"/>
        <v>-70.875</v>
      </c>
      <c r="Y119" s="9">
        <f t="shared" si="7"/>
        <v>-70.875</v>
      </c>
      <c r="Z119" s="2">
        <f t="shared" si="8"/>
        <v>-70.875</v>
      </c>
    </row>
    <row r="120" spans="1:26">
      <c r="A120" s="56"/>
      <c r="B120" s="9"/>
      <c r="C120" s="9"/>
      <c r="D120" s="9">
        <f t="shared" si="9"/>
        <v>-10.5</v>
      </c>
      <c r="E120" s="9">
        <f t="shared" si="9"/>
        <v>-10.5</v>
      </c>
      <c r="F120" s="57">
        <f t="shared" si="1"/>
        <v>-1235.8500000000001</v>
      </c>
      <c r="G120" s="57">
        <f t="shared" si="2"/>
        <v>-1106.28</v>
      </c>
      <c r="H120" s="57"/>
      <c r="I120" s="9"/>
      <c r="J120" s="9"/>
      <c r="K120" s="15"/>
      <c r="L120" s="9"/>
      <c r="M120" s="12"/>
      <c r="N120" s="9"/>
      <c r="O120" s="9"/>
      <c r="P120" s="9"/>
      <c r="Q120" s="9"/>
      <c r="R120" s="12"/>
      <c r="S120" s="9">
        <f t="shared" si="3"/>
        <v>0</v>
      </c>
      <c r="T120" s="9"/>
      <c r="U120" s="9"/>
      <c r="V120" s="9">
        <f t="shared" si="4"/>
        <v>-43.47</v>
      </c>
      <c r="W120" s="9">
        <f t="shared" si="5"/>
        <v>-27.404999999999998</v>
      </c>
      <c r="X120" s="9">
        <f t="shared" si="6"/>
        <v>-70.875</v>
      </c>
      <c r="Y120" s="9">
        <f t="shared" si="7"/>
        <v>-70.875</v>
      </c>
      <c r="Z120" s="2">
        <f t="shared" si="8"/>
        <v>-70.875</v>
      </c>
    </row>
    <row r="121" spans="1:26">
      <c r="A121" s="56"/>
      <c r="B121" s="9"/>
      <c r="C121" s="9"/>
      <c r="D121" s="9">
        <f t="shared" si="9"/>
        <v>-10.5</v>
      </c>
      <c r="E121" s="9">
        <f t="shared" si="9"/>
        <v>-10.5</v>
      </c>
      <c r="F121" s="57">
        <f t="shared" si="1"/>
        <v>-1235.8500000000001</v>
      </c>
      <c r="G121" s="57">
        <f t="shared" si="2"/>
        <v>-1106.28</v>
      </c>
      <c r="H121" s="57"/>
      <c r="I121" s="9"/>
      <c r="J121" s="9"/>
      <c r="K121" s="15"/>
      <c r="L121" s="9"/>
      <c r="M121" s="12"/>
      <c r="N121" s="9"/>
      <c r="O121" s="9"/>
      <c r="P121" s="9"/>
      <c r="Q121" s="9"/>
      <c r="R121" s="12"/>
      <c r="S121" s="9">
        <f t="shared" si="3"/>
        <v>0</v>
      </c>
      <c r="T121" s="9"/>
      <c r="U121" s="9"/>
      <c r="V121" s="9">
        <f t="shared" si="4"/>
        <v>-43.47</v>
      </c>
      <c r="W121" s="9">
        <f t="shared" si="5"/>
        <v>-27.404999999999998</v>
      </c>
      <c r="X121" s="9">
        <f t="shared" si="6"/>
        <v>-70.875</v>
      </c>
      <c r="Y121" s="9">
        <f t="shared" si="7"/>
        <v>-70.875</v>
      </c>
      <c r="Z121" s="2">
        <f t="shared" si="8"/>
        <v>-70.875</v>
      </c>
    </row>
    <row r="122" spans="1:26">
      <c r="A122" s="56"/>
      <c r="B122" s="9"/>
      <c r="C122" s="9"/>
      <c r="D122" s="9">
        <f t="shared" si="9"/>
        <v>-10.5</v>
      </c>
      <c r="E122" s="9">
        <f t="shared" si="9"/>
        <v>-10.5</v>
      </c>
      <c r="F122" s="57">
        <f t="shared" si="1"/>
        <v>-1235.8500000000001</v>
      </c>
      <c r="G122" s="57">
        <f t="shared" si="2"/>
        <v>-1106.28</v>
      </c>
      <c r="H122" s="57"/>
      <c r="I122" s="9"/>
      <c r="J122" s="9"/>
      <c r="K122" s="15"/>
      <c r="L122" s="9"/>
      <c r="M122" s="12"/>
      <c r="N122" s="9"/>
      <c r="O122" s="9"/>
      <c r="P122" s="9"/>
      <c r="Q122" s="9"/>
      <c r="R122" s="12"/>
      <c r="S122" s="9">
        <f t="shared" si="3"/>
        <v>0</v>
      </c>
      <c r="T122" s="9">
        <f>K122-S122</f>
        <v>0</v>
      </c>
      <c r="U122" s="9"/>
      <c r="V122" s="9">
        <f t="shared" si="4"/>
        <v>-43.47</v>
      </c>
      <c r="W122" s="9">
        <f t="shared" si="5"/>
        <v>-27.404999999999998</v>
      </c>
      <c r="X122" s="9">
        <f t="shared" si="6"/>
        <v>-70.875</v>
      </c>
      <c r="Y122" s="9">
        <f t="shared" si="7"/>
        <v>-70.875</v>
      </c>
      <c r="Z122" s="2">
        <f t="shared" si="8"/>
        <v>-70.875</v>
      </c>
    </row>
    <row r="123" spans="1:26">
      <c r="A123" s="56"/>
      <c r="B123" s="9"/>
      <c r="C123" s="9"/>
      <c r="D123" s="9">
        <f>B123-5</f>
        <v>-5</v>
      </c>
      <c r="E123" s="9">
        <f>C123-5</f>
        <v>-5</v>
      </c>
      <c r="F123" s="57">
        <f t="shared" si="1"/>
        <v>-588.5</v>
      </c>
      <c r="G123" s="57">
        <f t="shared" si="2"/>
        <v>-526.79999999999995</v>
      </c>
      <c r="H123" s="57"/>
      <c r="I123" s="9"/>
      <c r="J123" s="9"/>
      <c r="K123" s="15"/>
      <c r="L123" s="9"/>
      <c r="M123" s="12"/>
      <c r="N123" s="9"/>
      <c r="O123" s="9"/>
      <c r="P123" s="9"/>
      <c r="Q123" s="9"/>
      <c r="R123" s="12"/>
      <c r="S123" s="9">
        <f t="shared" si="3"/>
        <v>0</v>
      </c>
      <c r="T123" s="9"/>
      <c r="U123" s="9"/>
      <c r="V123" s="9">
        <f t="shared" si="4"/>
        <v>-20.7</v>
      </c>
      <c r="W123" s="9">
        <f t="shared" si="5"/>
        <v>-13.049999999999999</v>
      </c>
      <c r="X123" s="9">
        <f t="shared" si="6"/>
        <v>-33.75</v>
      </c>
      <c r="Y123" s="9">
        <f t="shared" si="7"/>
        <v>-33.75</v>
      </c>
      <c r="Z123" s="2">
        <f t="shared" si="8"/>
        <v>-33.75</v>
      </c>
    </row>
    <row r="124" spans="1:26">
      <c r="A124" s="56"/>
      <c r="B124" s="9"/>
      <c r="C124" s="9"/>
      <c r="D124" s="9">
        <f>B124-10</f>
        <v>-10</v>
      </c>
      <c r="E124" s="9">
        <f>C124-5</f>
        <v>-5</v>
      </c>
      <c r="F124" s="57">
        <f t="shared" si="1"/>
        <v>-1177</v>
      </c>
      <c r="G124" s="57">
        <f t="shared" si="2"/>
        <v>-526.79999999999995</v>
      </c>
      <c r="H124" s="57"/>
      <c r="I124" s="9"/>
      <c r="J124" s="9"/>
      <c r="K124" s="15"/>
      <c r="L124" s="9"/>
      <c r="M124" s="12"/>
      <c r="N124" s="9"/>
      <c r="O124" s="9"/>
      <c r="P124" s="9"/>
      <c r="Q124" s="9"/>
      <c r="R124" s="12"/>
      <c r="S124" s="9">
        <f t="shared" si="3"/>
        <v>0</v>
      </c>
      <c r="T124" s="9"/>
      <c r="U124" s="9"/>
      <c r="V124" s="9">
        <f t="shared" si="4"/>
        <v>-41.4</v>
      </c>
      <c r="W124" s="9">
        <f t="shared" si="5"/>
        <v>-13.049999999999999</v>
      </c>
      <c r="X124" s="9">
        <f t="shared" si="6"/>
        <v>-54.449999999999996</v>
      </c>
      <c r="Y124" s="9">
        <f t="shared" si="7"/>
        <v>-54.449999999999996</v>
      </c>
      <c r="Z124" s="2">
        <f t="shared" si="8"/>
        <v>-54.449999999999996</v>
      </c>
    </row>
    <row r="125" spans="1:26">
      <c r="A125" s="56"/>
      <c r="B125" s="9"/>
      <c r="C125" s="9"/>
      <c r="D125" s="9">
        <f>B125-5.5</f>
        <v>-5.5</v>
      </c>
      <c r="E125" s="9">
        <f>C125-5.5</f>
        <v>-5.5</v>
      </c>
      <c r="F125" s="57">
        <f t="shared" si="1"/>
        <v>-647.35</v>
      </c>
      <c r="G125" s="57">
        <f t="shared" si="2"/>
        <v>-579.48</v>
      </c>
      <c r="H125" s="57"/>
      <c r="I125" s="9"/>
      <c r="J125" s="9"/>
      <c r="K125" s="15"/>
      <c r="L125" s="9"/>
      <c r="M125" s="12"/>
      <c r="N125" s="9"/>
      <c r="O125" s="9"/>
      <c r="P125" s="9"/>
      <c r="Q125" s="9"/>
      <c r="R125" s="12"/>
      <c r="S125" s="9">
        <f t="shared" si="3"/>
        <v>0</v>
      </c>
      <c r="T125" s="9"/>
      <c r="U125" s="9"/>
      <c r="V125" s="9">
        <f t="shared" si="4"/>
        <v>-22.77</v>
      </c>
      <c r="W125" s="9">
        <f t="shared" si="5"/>
        <v>-14.354999999999999</v>
      </c>
      <c r="X125" s="9">
        <f t="shared" si="6"/>
        <v>-37.125</v>
      </c>
      <c r="Y125" s="9">
        <f t="shared" si="7"/>
        <v>-37.125</v>
      </c>
      <c r="Z125" s="2">
        <f t="shared" si="8"/>
        <v>-37.125</v>
      </c>
    </row>
    <row r="126" spans="1:26">
      <c r="A126" s="56"/>
      <c r="B126" s="9"/>
      <c r="C126" s="9"/>
      <c r="D126" s="9">
        <f>B126-10</f>
        <v>-10</v>
      </c>
      <c r="E126" s="9">
        <f>C126-10</f>
        <v>-10</v>
      </c>
      <c r="F126" s="57">
        <f t="shared" si="1"/>
        <v>-1177</v>
      </c>
      <c r="G126" s="57">
        <f t="shared" si="2"/>
        <v>-1053.5999999999999</v>
      </c>
      <c r="H126" s="57"/>
      <c r="I126" s="9"/>
      <c r="J126" s="9"/>
      <c r="K126" s="15"/>
      <c r="L126" s="9"/>
      <c r="M126" s="12"/>
      <c r="N126" s="9"/>
      <c r="O126" s="9"/>
      <c r="P126" s="9"/>
      <c r="Q126" s="9"/>
      <c r="R126" s="12"/>
      <c r="S126" s="9">
        <f t="shared" si="3"/>
        <v>0</v>
      </c>
      <c r="T126" s="9"/>
      <c r="U126" s="9"/>
      <c r="V126" s="9">
        <f t="shared" si="4"/>
        <v>-41.4</v>
      </c>
      <c r="W126" s="9">
        <f t="shared" si="5"/>
        <v>-26.099999999999998</v>
      </c>
      <c r="X126" s="9">
        <f t="shared" si="6"/>
        <v>-67.5</v>
      </c>
      <c r="Y126" s="9">
        <f t="shared" si="7"/>
        <v>-67.5</v>
      </c>
      <c r="Z126" s="2">
        <f t="shared" si="8"/>
        <v>-67.5</v>
      </c>
    </row>
    <row r="127" spans="1:26">
      <c r="A127" s="56"/>
      <c r="B127" s="9"/>
      <c r="C127" s="9"/>
      <c r="D127" s="9">
        <f>B127-5.5</f>
        <v>-5.5</v>
      </c>
      <c r="E127" s="9">
        <f>C127-5.5</f>
        <v>-5.5</v>
      </c>
      <c r="F127" s="57">
        <f t="shared" si="1"/>
        <v>-647.35</v>
      </c>
      <c r="G127" s="57">
        <f t="shared" si="2"/>
        <v>-579.48</v>
      </c>
      <c r="H127" s="57"/>
      <c r="I127" s="9"/>
      <c r="J127" s="9"/>
      <c r="K127" s="15"/>
      <c r="L127" s="9"/>
      <c r="M127" s="12"/>
      <c r="N127" s="9"/>
      <c r="O127" s="9"/>
      <c r="P127" s="9"/>
      <c r="Q127" s="9"/>
      <c r="R127" s="12"/>
      <c r="S127" s="9">
        <f t="shared" si="3"/>
        <v>0</v>
      </c>
      <c r="T127" s="9"/>
      <c r="U127" s="9"/>
      <c r="V127" s="9">
        <f t="shared" si="4"/>
        <v>-22.77</v>
      </c>
      <c r="W127" s="9">
        <f t="shared" si="5"/>
        <v>-14.354999999999999</v>
      </c>
      <c r="X127" s="9">
        <f t="shared" si="6"/>
        <v>-37.125</v>
      </c>
      <c r="Y127" s="9">
        <f t="shared" si="7"/>
        <v>-37.125</v>
      </c>
      <c r="Z127" s="2">
        <f t="shared" si="8"/>
        <v>-37.125</v>
      </c>
    </row>
    <row r="128" spans="1:26">
      <c r="A128" s="101"/>
      <c r="B128" s="5"/>
      <c r="C128" s="5"/>
      <c r="D128" s="5"/>
      <c r="E128" s="5"/>
      <c r="F128" s="58"/>
      <c r="G128" s="58"/>
      <c r="H128" s="58"/>
      <c r="I128" s="5"/>
      <c r="J128" s="5"/>
      <c r="K128" s="11"/>
      <c r="L128" s="5"/>
      <c r="M128" s="7"/>
      <c r="N128" s="5"/>
      <c r="O128" s="5"/>
      <c r="P128" s="5"/>
      <c r="Q128" s="5"/>
      <c r="R128" s="7"/>
      <c r="S128" s="5"/>
      <c r="T128" s="5"/>
      <c r="U128" s="5"/>
      <c r="V128" s="5"/>
      <c r="W128" s="5"/>
      <c r="X128" s="5"/>
      <c r="Y128" s="5"/>
      <c r="Z128" s="4"/>
    </row>
    <row r="129" spans="1:40">
      <c r="A129" s="101"/>
      <c r="B129" s="5"/>
      <c r="C129" s="5"/>
      <c r="D129" s="5"/>
      <c r="E129" s="5"/>
      <c r="F129" s="58"/>
      <c r="G129" s="58"/>
      <c r="H129" s="58"/>
      <c r="I129" s="5"/>
      <c r="J129" s="5"/>
      <c r="K129" s="11"/>
      <c r="L129" s="5"/>
      <c r="M129" s="7"/>
      <c r="N129" s="5"/>
      <c r="O129" s="5"/>
      <c r="P129" s="5"/>
      <c r="Q129" s="5"/>
      <c r="R129" s="7"/>
      <c r="S129" s="5"/>
      <c r="T129" s="5"/>
      <c r="U129" s="5"/>
      <c r="V129" s="5"/>
      <c r="W129" s="5"/>
      <c r="X129" s="5"/>
      <c r="Y129" s="5"/>
      <c r="Z129" s="4"/>
    </row>
    <row r="130" spans="1:40">
      <c r="A130" s="5"/>
      <c r="B130" s="5"/>
      <c r="C130" s="5"/>
      <c r="D130" s="5"/>
      <c r="E130" s="5"/>
      <c r="F130" s="58"/>
      <c r="G130" s="58"/>
      <c r="H130" s="58"/>
      <c r="I130" s="5"/>
      <c r="J130" s="5"/>
      <c r="K130" s="11"/>
      <c r="L130" s="5"/>
      <c r="M130" s="7"/>
      <c r="N130" s="5"/>
      <c r="O130" s="5"/>
      <c r="P130" s="5"/>
      <c r="Q130" s="5"/>
      <c r="R130" s="7"/>
      <c r="S130" s="5"/>
      <c r="T130" s="5"/>
      <c r="U130" s="5"/>
      <c r="V130" s="5"/>
      <c r="W130" s="5"/>
      <c r="X130" s="5"/>
      <c r="Y130" s="5"/>
      <c r="Z130" s="4"/>
    </row>
    <row r="131" spans="1:40" s="3" customFormat="1">
      <c r="A131" s="138" t="s">
        <v>146</v>
      </c>
      <c r="B131" s="132"/>
      <c r="C131" s="132"/>
      <c r="D131" s="132"/>
      <c r="E131" s="134"/>
      <c r="F131" s="59"/>
      <c r="G131" s="59"/>
      <c r="H131" s="1"/>
      <c r="I131" s="1"/>
      <c r="J131" s="1"/>
      <c r="K131" s="1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1"/>
      <c r="Y131" s="1"/>
      <c r="Z131" s="35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s="3" customFormat="1">
      <c r="A132" s="9"/>
      <c r="B132" s="2" t="s">
        <v>147</v>
      </c>
      <c r="C132" s="2" t="s">
        <v>148</v>
      </c>
      <c r="D132" s="60" t="s">
        <v>149</v>
      </c>
      <c r="E132" s="2" t="s">
        <v>150</v>
      </c>
      <c r="F132" s="2" t="s">
        <v>151</v>
      </c>
      <c r="G132" s="2" t="s">
        <v>29</v>
      </c>
      <c r="H132" s="1"/>
      <c r="I132" s="5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35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s="3" customFormat="1">
      <c r="A133" s="9" t="s">
        <v>152</v>
      </c>
      <c r="B133" s="13"/>
      <c r="C133" s="13"/>
      <c r="D133" s="61"/>
      <c r="E133" s="13"/>
      <c r="F133" s="38">
        <f>(B133-D133)</f>
        <v>0</v>
      </c>
      <c r="G133" s="38">
        <f>E133-F133</f>
        <v>0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35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s="3" customFormat="1">
      <c r="A134" s="9" t="s">
        <v>153</v>
      </c>
      <c r="B134" s="13"/>
      <c r="C134" s="13"/>
      <c r="D134" s="61"/>
      <c r="E134" s="13"/>
      <c r="F134" s="38">
        <f>B134-D134</f>
        <v>0</v>
      </c>
      <c r="G134" s="38">
        <f>E134-F134</f>
        <v>0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35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>
      <c r="A135" s="62"/>
      <c r="B135" s="5"/>
      <c r="C135" s="5"/>
      <c r="D135" s="5"/>
      <c r="E135" s="5"/>
      <c r="F135" s="58"/>
      <c r="G135" s="58"/>
      <c r="H135" s="58"/>
      <c r="I135" s="5"/>
      <c r="J135" s="5"/>
      <c r="K135" s="11"/>
      <c r="L135" s="5"/>
      <c r="M135" s="7"/>
      <c r="N135" s="5"/>
      <c r="O135" s="5"/>
      <c r="P135" s="5"/>
      <c r="Q135" s="5"/>
      <c r="R135" s="7"/>
      <c r="S135" s="5"/>
      <c r="T135" s="5"/>
      <c r="U135" s="5"/>
      <c r="V135" s="5"/>
      <c r="W135" s="5"/>
      <c r="X135" s="5"/>
      <c r="Y135" s="5"/>
      <c r="Z135" s="4"/>
    </row>
    <row r="136" spans="1:40">
      <c r="A136" s="28" t="s">
        <v>154</v>
      </c>
      <c r="B136" s="70"/>
      <c r="C136" s="55"/>
      <c r="D136" s="62"/>
      <c r="E136" s="55"/>
      <c r="F136" s="5"/>
      <c r="G136" s="5"/>
      <c r="H136" s="5"/>
      <c r="I136" s="1"/>
      <c r="J136" s="1"/>
      <c r="W136" s="35"/>
      <c r="Z136" s="1"/>
    </row>
    <row r="137" spans="1:40">
      <c r="C137" s="55"/>
      <c r="D137" s="62"/>
      <c r="E137" s="55"/>
      <c r="F137" s="5"/>
      <c r="G137" s="5"/>
      <c r="H137" s="5"/>
      <c r="I137" s="1"/>
      <c r="J137" s="1"/>
      <c r="W137" s="35"/>
      <c r="Z137" s="1"/>
    </row>
    <row r="138" spans="1:40">
      <c r="A138" s="8" t="s">
        <v>155</v>
      </c>
      <c r="B138" s="71"/>
      <c r="C138" s="55"/>
      <c r="D138" s="62"/>
      <c r="E138" s="55"/>
      <c r="F138" s="5"/>
      <c r="G138" s="5"/>
      <c r="H138" s="5"/>
      <c r="I138" s="1"/>
      <c r="J138" s="1"/>
      <c r="M138" s="1" t="s">
        <v>156</v>
      </c>
      <c r="W138" s="35"/>
      <c r="Z138" s="1"/>
    </row>
    <row r="139" spans="1:40">
      <c r="A139" s="8" t="s">
        <v>157</v>
      </c>
      <c r="B139" s="71"/>
      <c r="C139" s="55"/>
      <c r="D139" s="62"/>
      <c r="E139" s="55"/>
      <c r="F139" s="5"/>
      <c r="G139" s="5"/>
      <c r="H139" s="5"/>
      <c r="I139" s="1"/>
      <c r="J139" s="1"/>
      <c r="W139" s="35"/>
      <c r="Z139" s="1"/>
    </row>
    <row r="140" spans="1:40">
      <c r="C140" s="55"/>
      <c r="D140" s="62"/>
      <c r="E140" s="55"/>
      <c r="F140" s="5"/>
      <c r="G140" s="5"/>
      <c r="H140" s="5"/>
      <c r="I140" s="1"/>
      <c r="J140" s="1"/>
      <c r="W140" s="35"/>
      <c r="Z140" s="1"/>
    </row>
    <row r="141" spans="1:40">
      <c r="F141" s="55"/>
      <c r="G141" s="55"/>
      <c r="H141" s="55"/>
      <c r="I141" s="5"/>
      <c r="J141" s="5"/>
      <c r="K141" s="5"/>
    </row>
    <row r="142" spans="1:40">
      <c r="F142" s="55"/>
      <c r="G142" s="55"/>
      <c r="H142" s="55"/>
      <c r="I142" s="5"/>
      <c r="J142" s="5"/>
      <c r="K142" s="5"/>
    </row>
    <row r="143" spans="1:40">
      <c r="F143" s="55"/>
      <c r="G143" s="55"/>
      <c r="H143" s="55"/>
      <c r="I143" s="5"/>
      <c r="J143" s="5"/>
      <c r="K143" s="5"/>
    </row>
    <row r="144" spans="1:40">
      <c r="F144" s="55"/>
      <c r="G144" s="55"/>
      <c r="H144" s="55"/>
      <c r="I144" s="5"/>
      <c r="J144" s="5"/>
      <c r="K144" s="5"/>
    </row>
    <row r="145" spans="6:11">
      <c r="F145" s="55"/>
      <c r="G145" s="55"/>
      <c r="H145" s="55"/>
      <c r="I145" s="5"/>
      <c r="J145" s="5"/>
      <c r="K145" s="5"/>
    </row>
    <row r="146" spans="6:11">
      <c r="F146" s="55"/>
      <c r="G146" s="55"/>
      <c r="H146" s="55"/>
      <c r="I146" s="5"/>
      <c r="J146" s="5"/>
      <c r="K146" s="5"/>
    </row>
    <row r="147" spans="6:11">
      <c r="F147" s="55"/>
      <c r="G147" s="55"/>
      <c r="H147" s="55"/>
      <c r="I147" s="5"/>
      <c r="J147" s="5"/>
      <c r="K147" s="5"/>
    </row>
    <row r="148" spans="6:11">
      <c r="F148" s="55"/>
      <c r="G148" s="55"/>
      <c r="H148" s="55"/>
      <c r="I148" s="5"/>
      <c r="J148" s="5"/>
      <c r="K148" s="5"/>
    </row>
    <row r="149" spans="6:11">
      <c r="F149" s="55"/>
      <c r="G149" s="55"/>
      <c r="H149" s="55"/>
      <c r="I149" s="5"/>
      <c r="J149" s="5"/>
      <c r="K149" s="5"/>
    </row>
    <row r="150" spans="6:11">
      <c r="F150" s="55"/>
      <c r="G150" s="55"/>
      <c r="H150" s="55"/>
      <c r="I150" s="5"/>
      <c r="J150" s="5"/>
      <c r="K150" s="5"/>
    </row>
    <row r="151" spans="6:11">
      <c r="F151" s="55"/>
      <c r="G151" s="55"/>
      <c r="H151" s="55"/>
      <c r="I151" s="5"/>
      <c r="J151" s="5"/>
      <c r="K151" s="5"/>
    </row>
    <row r="152" spans="6:11">
      <c r="F152" s="55"/>
      <c r="G152" s="55"/>
      <c r="H152" s="55"/>
      <c r="I152" s="5"/>
      <c r="J152" s="5"/>
      <c r="K152" s="5"/>
    </row>
    <row r="153" spans="6:11">
      <c r="F153" s="55"/>
      <c r="G153" s="55"/>
      <c r="H153" s="55"/>
      <c r="I153" s="5"/>
      <c r="J153" s="5"/>
      <c r="K153" s="5"/>
    </row>
    <row r="154" spans="6:11">
      <c r="F154" s="55"/>
      <c r="G154" s="55"/>
      <c r="H154" s="55"/>
      <c r="I154" s="5"/>
      <c r="J154" s="5"/>
      <c r="K154" s="5"/>
    </row>
    <row r="155" spans="6:11">
      <c r="F155" s="55"/>
      <c r="G155" s="55"/>
      <c r="H155" s="55"/>
      <c r="I155" s="5"/>
      <c r="J155" s="5"/>
      <c r="K155" s="5"/>
    </row>
    <row r="156" spans="6:11">
      <c r="F156" s="55"/>
      <c r="G156" s="55"/>
      <c r="H156" s="55"/>
      <c r="I156" s="5"/>
      <c r="J156" s="5"/>
      <c r="K156" s="5"/>
    </row>
    <row r="157" spans="6:11">
      <c r="F157" s="55"/>
      <c r="G157" s="55"/>
      <c r="H157" s="55"/>
      <c r="I157" s="5"/>
      <c r="J157" s="5"/>
      <c r="K157" s="5"/>
    </row>
    <row r="158" spans="6:11">
      <c r="F158" s="55"/>
      <c r="G158" s="55"/>
      <c r="H158" s="55"/>
      <c r="I158" s="5"/>
      <c r="J158" s="5"/>
      <c r="K158" s="5"/>
    </row>
    <row r="159" spans="6:11">
      <c r="F159" s="55"/>
      <c r="G159" s="55"/>
      <c r="H159" s="55"/>
      <c r="I159" s="5"/>
      <c r="J159" s="5"/>
      <c r="K159" s="5"/>
    </row>
    <row r="160" spans="6:11">
      <c r="F160" s="55"/>
      <c r="G160" s="55"/>
      <c r="H160" s="55"/>
      <c r="I160" s="5"/>
      <c r="J160" s="5"/>
      <c r="K160" s="5"/>
    </row>
    <row r="161" spans="6:11">
      <c r="F161" s="55"/>
      <c r="G161" s="55"/>
      <c r="H161" s="55"/>
      <c r="I161" s="5"/>
      <c r="J161" s="5"/>
      <c r="K161" s="5"/>
    </row>
    <row r="162" spans="6:11">
      <c r="F162" s="55"/>
      <c r="G162" s="55"/>
      <c r="H162" s="55"/>
      <c r="I162" s="5"/>
      <c r="J162" s="5"/>
      <c r="K162" s="5"/>
    </row>
    <row r="163" spans="6:11">
      <c r="F163" s="55"/>
      <c r="G163" s="55"/>
      <c r="H163" s="55"/>
      <c r="I163" s="5"/>
      <c r="J163" s="5"/>
      <c r="K163" s="5"/>
    </row>
    <row r="164" spans="6:11">
      <c r="F164" s="55"/>
      <c r="G164" s="55"/>
      <c r="H164" s="55"/>
      <c r="I164" s="5"/>
      <c r="J164" s="5"/>
      <c r="K164" s="5"/>
    </row>
    <row r="165" spans="6:11">
      <c r="F165" s="55"/>
      <c r="G165" s="55"/>
      <c r="H165" s="55"/>
      <c r="I165" s="5"/>
      <c r="J165" s="5"/>
      <c r="K165" s="5"/>
    </row>
    <row r="166" spans="6:11">
      <c r="F166" s="55"/>
      <c r="G166" s="55"/>
      <c r="H166" s="55"/>
      <c r="I166" s="5"/>
      <c r="J166" s="5"/>
      <c r="K166" s="5"/>
    </row>
    <row r="167" spans="6:11">
      <c r="F167" s="55"/>
      <c r="G167" s="55"/>
      <c r="H167" s="55"/>
      <c r="I167" s="5"/>
      <c r="J167" s="5"/>
      <c r="K167" s="5"/>
    </row>
    <row r="168" spans="6:11">
      <c r="F168" s="55"/>
      <c r="G168" s="55"/>
      <c r="H168" s="55"/>
      <c r="I168" s="5"/>
      <c r="J168" s="5"/>
      <c r="K168" s="5"/>
    </row>
    <row r="169" spans="6:11">
      <c r="F169" s="55"/>
      <c r="G169" s="55"/>
      <c r="H169" s="55"/>
      <c r="I169" s="5"/>
      <c r="J169" s="5"/>
      <c r="K169" s="5"/>
    </row>
    <row r="170" spans="6:11">
      <c r="F170" s="55"/>
      <c r="G170" s="55"/>
      <c r="H170" s="55"/>
      <c r="I170" s="5"/>
      <c r="J170" s="5"/>
      <c r="K170" s="5"/>
    </row>
    <row r="171" spans="6:11">
      <c r="F171" s="55"/>
      <c r="G171" s="55"/>
      <c r="H171" s="55"/>
      <c r="I171" s="5"/>
      <c r="J171" s="5"/>
      <c r="K171" s="5"/>
    </row>
    <row r="172" spans="6:11">
      <c r="F172" s="55"/>
      <c r="G172" s="55"/>
      <c r="H172" s="55"/>
      <c r="I172" s="5"/>
      <c r="J172" s="5"/>
      <c r="K172" s="5"/>
    </row>
    <row r="173" spans="6:11">
      <c r="F173" s="55"/>
      <c r="G173" s="55"/>
      <c r="H173" s="55"/>
      <c r="I173" s="5"/>
      <c r="J173" s="5"/>
      <c r="K173" s="5"/>
    </row>
    <row r="174" spans="6:11">
      <c r="F174" s="55"/>
      <c r="G174" s="55"/>
      <c r="H174" s="55"/>
      <c r="I174" s="5"/>
      <c r="J174" s="5"/>
      <c r="K174" s="5"/>
    </row>
    <row r="175" spans="6:11">
      <c r="F175" s="55"/>
      <c r="G175" s="55"/>
      <c r="H175" s="55"/>
      <c r="I175" s="5"/>
      <c r="J175" s="5"/>
      <c r="K175" s="5"/>
    </row>
    <row r="176" spans="6:11">
      <c r="F176" s="55"/>
      <c r="G176" s="55"/>
      <c r="H176" s="55"/>
      <c r="I176" s="5"/>
      <c r="J176" s="5"/>
      <c r="K176" s="5"/>
    </row>
    <row r="177" spans="6:11">
      <c r="F177" s="55"/>
      <c r="G177" s="55"/>
      <c r="H177" s="55"/>
      <c r="I177" s="5"/>
      <c r="J177" s="5"/>
      <c r="K177" s="5"/>
    </row>
    <row r="178" spans="6:11">
      <c r="F178" s="55"/>
      <c r="G178" s="55"/>
      <c r="H178" s="55"/>
      <c r="I178" s="5"/>
      <c r="J178" s="5"/>
      <c r="K178" s="5"/>
    </row>
    <row r="179" spans="6:11">
      <c r="F179" s="55"/>
      <c r="G179" s="55"/>
      <c r="H179" s="55"/>
      <c r="I179" s="5"/>
      <c r="J179" s="5"/>
      <c r="K179" s="5"/>
    </row>
    <row r="180" spans="6:11">
      <c r="F180" s="55"/>
      <c r="G180" s="55"/>
      <c r="H180" s="55"/>
      <c r="I180" s="5"/>
      <c r="J180" s="5"/>
      <c r="K180" s="5"/>
    </row>
    <row r="181" spans="6:11">
      <c r="F181" s="55"/>
      <c r="G181" s="55"/>
      <c r="H181" s="55"/>
      <c r="I181" s="5"/>
      <c r="J181" s="5"/>
      <c r="K181" s="5"/>
    </row>
    <row r="182" spans="6:11">
      <c r="F182" s="55"/>
      <c r="G182" s="55"/>
      <c r="H182" s="55"/>
      <c r="I182" s="5"/>
      <c r="J182" s="5"/>
      <c r="K182" s="5"/>
    </row>
    <row r="183" spans="6:11">
      <c r="F183" s="55"/>
      <c r="G183" s="55"/>
      <c r="H183" s="55"/>
      <c r="I183" s="5"/>
      <c r="J183" s="5"/>
      <c r="K183" s="5"/>
    </row>
    <row r="184" spans="6:11">
      <c r="F184" s="55"/>
      <c r="G184" s="55"/>
      <c r="H184" s="55"/>
      <c r="I184" s="5"/>
      <c r="J184" s="5"/>
      <c r="K184" s="5"/>
    </row>
    <row r="185" spans="6:11">
      <c r="F185" s="55"/>
      <c r="G185" s="55"/>
      <c r="H185" s="55"/>
      <c r="I185" s="5"/>
      <c r="J185" s="5"/>
      <c r="K185" s="5"/>
    </row>
    <row r="186" spans="6:11">
      <c r="F186" s="55"/>
      <c r="G186" s="55"/>
      <c r="H186" s="55"/>
      <c r="I186" s="5"/>
      <c r="J186" s="5"/>
      <c r="K186" s="5"/>
    </row>
    <row r="187" spans="6:11">
      <c r="F187" s="55"/>
      <c r="G187" s="55"/>
      <c r="H187" s="55"/>
      <c r="I187" s="5"/>
      <c r="J187" s="5"/>
      <c r="K187" s="5"/>
    </row>
    <row r="188" spans="6:11">
      <c r="F188" s="55"/>
      <c r="G188" s="55"/>
      <c r="H188" s="55"/>
      <c r="I188" s="5"/>
      <c r="J188" s="5"/>
      <c r="K188" s="5"/>
    </row>
    <row r="189" spans="6:11">
      <c r="F189" s="55"/>
      <c r="G189" s="55"/>
      <c r="H189" s="55"/>
      <c r="I189" s="5"/>
      <c r="J189" s="5"/>
      <c r="K189" s="5"/>
    </row>
    <row r="190" spans="6:11">
      <c r="F190" s="55"/>
      <c r="G190" s="55"/>
      <c r="H190" s="55"/>
      <c r="I190" s="5"/>
      <c r="J190" s="5"/>
      <c r="K190" s="5"/>
    </row>
    <row r="191" spans="6:11">
      <c r="F191" s="55"/>
      <c r="G191" s="55"/>
      <c r="H191" s="55"/>
      <c r="I191" s="5"/>
      <c r="J191" s="5"/>
      <c r="K191" s="5"/>
    </row>
    <row r="192" spans="6:11">
      <c r="F192" s="55"/>
      <c r="G192" s="55"/>
      <c r="H192" s="55"/>
      <c r="I192" s="5"/>
      <c r="J192" s="5"/>
      <c r="K192" s="5"/>
    </row>
    <row r="193" spans="6:11">
      <c r="F193" s="55"/>
      <c r="G193" s="55"/>
      <c r="H193" s="55"/>
      <c r="I193" s="5"/>
      <c r="J193" s="5"/>
      <c r="K193" s="5"/>
    </row>
    <row r="194" spans="6:11">
      <c r="F194" s="55"/>
      <c r="G194" s="55"/>
      <c r="H194" s="55"/>
      <c r="I194" s="5"/>
      <c r="J194" s="5"/>
      <c r="K194" s="5"/>
    </row>
    <row r="195" spans="6:11">
      <c r="F195" s="55"/>
      <c r="G195" s="55"/>
      <c r="H195" s="55"/>
      <c r="I195" s="5"/>
      <c r="J195" s="5"/>
      <c r="K195" s="5"/>
    </row>
    <row r="196" spans="6:11">
      <c r="F196" s="55"/>
      <c r="G196" s="55"/>
      <c r="H196" s="55"/>
      <c r="I196" s="5"/>
      <c r="J196" s="5"/>
      <c r="K196" s="5"/>
    </row>
    <row r="197" spans="6:11">
      <c r="F197" s="55"/>
      <c r="G197" s="55"/>
      <c r="H197" s="55"/>
      <c r="I197" s="5"/>
      <c r="J197" s="5"/>
      <c r="K197" s="5"/>
    </row>
    <row r="198" spans="6:11">
      <c r="F198" s="55"/>
      <c r="G198" s="55"/>
      <c r="H198" s="55"/>
      <c r="I198" s="5"/>
      <c r="J198" s="5"/>
      <c r="K198" s="5"/>
    </row>
    <row r="199" spans="6:11">
      <c r="F199" s="55"/>
      <c r="G199" s="55"/>
      <c r="H199" s="55"/>
      <c r="I199" s="5"/>
      <c r="J199" s="5"/>
      <c r="K199" s="5"/>
    </row>
    <row r="200" spans="6:11">
      <c r="F200" s="55"/>
      <c r="G200" s="55"/>
      <c r="H200" s="55"/>
      <c r="I200" s="5"/>
      <c r="J200" s="5"/>
      <c r="K200" s="5"/>
    </row>
    <row r="201" spans="6:11">
      <c r="F201" s="55"/>
      <c r="G201" s="55"/>
      <c r="H201" s="55"/>
      <c r="I201" s="5"/>
      <c r="J201" s="5"/>
      <c r="K201" s="5"/>
    </row>
    <row r="202" spans="6:11">
      <c r="F202" s="55"/>
      <c r="G202" s="55"/>
      <c r="H202" s="55"/>
      <c r="I202" s="5"/>
      <c r="J202" s="5"/>
      <c r="K202" s="5"/>
    </row>
    <row r="203" spans="6:11">
      <c r="F203" s="55"/>
      <c r="G203" s="55"/>
      <c r="H203" s="55"/>
      <c r="I203" s="5"/>
      <c r="J203" s="5"/>
      <c r="K203" s="5"/>
    </row>
    <row r="204" spans="6:11">
      <c r="F204" s="55"/>
      <c r="G204" s="55"/>
      <c r="H204" s="55"/>
      <c r="I204" s="5"/>
      <c r="J204" s="5"/>
      <c r="K204" s="5"/>
    </row>
    <row r="205" spans="6:11">
      <c r="F205" s="55"/>
      <c r="G205" s="55"/>
      <c r="H205" s="55"/>
      <c r="I205" s="5"/>
      <c r="J205" s="5"/>
      <c r="K205" s="5"/>
    </row>
    <row r="206" spans="6:11">
      <c r="F206" s="55"/>
      <c r="G206" s="55"/>
      <c r="H206" s="55"/>
      <c r="I206" s="5"/>
      <c r="J206" s="5"/>
      <c r="K206" s="5"/>
    </row>
    <row r="207" spans="6:11">
      <c r="F207" s="55"/>
      <c r="G207" s="55"/>
      <c r="H207" s="55"/>
      <c r="I207" s="5"/>
      <c r="J207" s="5"/>
      <c r="K207" s="5"/>
    </row>
    <row r="208" spans="6:11">
      <c r="F208" s="55"/>
      <c r="G208" s="55"/>
      <c r="H208" s="55"/>
      <c r="I208" s="5"/>
      <c r="J208" s="5"/>
      <c r="K208" s="5"/>
    </row>
    <row r="209" spans="6:11">
      <c r="F209" s="55"/>
      <c r="G209" s="55"/>
      <c r="H209" s="55"/>
      <c r="I209" s="5"/>
      <c r="J209" s="5"/>
      <c r="K209" s="5"/>
    </row>
    <row r="210" spans="6:11">
      <c r="F210" s="55"/>
      <c r="G210" s="55"/>
      <c r="H210" s="55"/>
      <c r="I210" s="5"/>
      <c r="J210" s="5"/>
      <c r="K210" s="5"/>
    </row>
    <row r="211" spans="6:11">
      <c r="F211" s="55"/>
      <c r="G211" s="55"/>
      <c r="H211" s="55"/>
      <c r="I211" s="5"/>
      <c r="J211" s="5"/>
      <c r="K211" s="5"/>
    </row>
    <row r="212" spans="6:11">
      <c r="F212" s="55"/>
      <c r="G212" s="55"/>
      <c r="H212" s="55"/>
      <c r="I212" s="5"/>
      <c r="J212" s="5"/>
      <c r="K212" s="5"/>
    </row>
    <row r="213" spans="6:11">
      <c r="F213" s="55"/>
      <c r="G213" s="55"/>
      <c r="H213" s="55"/>
      <c r="I213" s="5"/>
      <c r="J213" s="5"/>
      <c r="K213" s="5"/>
    </row>
    <row r="214" spans="6:11">
      <c r="F214" s="55"/>
      <c r="G214" s="55"/>
      <c r="H214" s="55"/>
      <c r="I214" s="5"/>
      <c r="J214" s="5"/>
      <c r="K214" s="5"/>
    </row>
    <row r="215" spans="6:11">
      <c r="F215" s="55"/>
      <c r="G215" s="55"/>
      <c r="H215" s="55"/>
      <c r="I215" s="5"/>
      <c r="J215" s="5"/>
      <c r="K215" s="5"/>
    </row>
    <row r="216" spans="6:11">
      <c r="F216" s="55"/>
      <c r="G216" s="55"/>
      <c r="H216" s="55"/>
      <c r="I216" s="5"/>
      <c r="J216" s="5"/>
      <c r="K216" s="5"/>
    </row>
    <row r="217" spans="6:11">
      <c r="F217" s="55"/>
      <c r="G217" s="55"/>
      <c r="H217" s="55"/>
      <c r="I217" s="5"/>
      <c r="J217" s="5"/>
      <c r="K217" s="5"/>
    </row>
    <row r="218" spans="6:11">
      <c r="F218" s="55"/>
      <c r="G218" s="55"/>
      <c r="H218" s="55"/>
      <c r="I218" s="5"/>
      <c r="J218" s="5"/>
      <c r="K218" s="5"/>
    </row>
  </sheetData>
  <mergeCells count="10">
    <mergeCell ref="A75:D75"/>
    <mergeCell ref="A131:E131"/>
    <mergeCell ref="A47:C47"/>
    <mergeCell ref="G27:H27"/>
    <mergeCell ref="E27:F27"/>
    <mergeCell ref="A5:E5"/>
    <mergeCell ref="A65:D65"/>
    <mergeCell ref="A71:D71"/>
    <mergeCell ref="A48:C48"/>
    <mergeCell ref="A28:C28"/>
  </mergeCells>
  <dataValidations count="6">
    <dataValidation type="list" allowBlank="1" showInputMessage="1" showErrorMessage="1" sqref="A43" xr:uid="{00000000-0002-0000-0000-000000000000}">
      <formula1>"Anil/Nani New Credit,AirTel Hari New Credit,Salary Advance Viaj,Salary Advance Ashok, Salary Advance Sriharsha, Salary Advance Ravindra,Sajja Function Hall - New Credit"</formula1>
    </dataValidation>
    <dataValidation type="list" allowBlank="1" showInputMessage="1" showErrorMessage="1" sqref="A46" xr:uid="{00000000-0002-0000-0000-000001000000}">
      <formula1>" Anil New Credit,AirTel Hari New Credit,Salary Advance Viaj,Salary Advance Ashok, Salary Advance Sriharsha, Salary Advance Ravindra,Sajja Function Hall - New Credit "</formula1>
    </dataValidation>
    <dataValidation type="list" allowBlank="1" showInputMessage="1" showErrorMessage="1" sqref="A55:A58 A88:A90" xr:uid="{00000000-0002-0000-0000-000002000000}">
      <formula1>"Salaries Mid/End of Month - Total, Power Bill, Unload Beta, Salary Advances Total "</formula1>
    </dataValidation>
    <dataValidation type="list" allowBlank="1" showInputMessage="1" showErrorMessage="1" sqref="A93:A94" xr:uid="{00000000-0002-0000-0000-000003000000}">
      <formula1>"Sajja Old Credit Remitted Amt, Anil Old Credit Remitted , AirTel Hari Old Credit Remitted , AirTel New Credit Remitted "</formula1>
    </dataValidation>
    <dataValidation type="list" allowBlank="1" showInputMessage="1" showErrorMessage="1" sqref="A44:A45" xr:uid="{00000000-0002-0000-0000-000004000000}">
      <formula1>"Anil/Nani New Credit,AirTel Hari New Credit,Salary Advance Viaj,Salary Advance Ashok, Salary Advance Sriharsha, Salary Advance Ravindra,Sajja Function Hall - New Credit "</formula1>
    </dataValidation>
    <dataValidation type="list" allowBlank="1" showInputMessage="1" showErrorMessage="1" sqref="A60:A62" xr:uid="{00000000-0002-0000-0000-000005000000}">
      <formula1>" Sajja Old Credit Remitted Amt, Anil/Nani Old Credit Remitted Amt, AirTel Hari Old Credit Remitted Amt , AirTel New Credit Remitted Amt"</formula1>
    </dataValidation>
  </dataValidation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SEP12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Mithendra Pamulapati</dc:creator>
  <cp:lastModifiedBy>Shared</cp:lastModifiedBy>
  <dcterms:created xsi:type="dcterms:W3CDTF">2025-10-18T12:39:15Z</dcterms:created>
  <dcterms:modified xsi:type="dcterms:W3CDTF">2026-09-26T16:06:29Z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2025-10-18T12:39:47Z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be3ed4fb-8ef9-4886-8b6b-3e627db5ee93</vt:lpwstr>
  </property>
  <property fmtid="{D5CDD505-2E9C-101B-9397-08002B2CF9AE}" pid="8" name="MSIP_Label_a4de43ec-192a-49eb-8e54-baeb8c71bbbe_ContentBits">
    <vt:lpwstr>2</vt:lpwstr>
  </property>
</Properties>
</file>